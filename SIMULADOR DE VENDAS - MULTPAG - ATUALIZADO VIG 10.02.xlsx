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elle.lopes\Downloads\"/>
    </mc:Choice>
  </mc:AlternateContent>
  <xr:revisionPtr revIDLastSave="0" documentId="13_ncr:1_{E39373A6-6F21-42C1-9AC9-62D60C5D6DE1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Ganhos" sheetId="15" r:id="rId1"/>
    <sheet name="Tabela" sheetId="13" r:id="rId2"/>
    <sheet name="10" sheetId="11" r:id="rId3"/>
    <sheet name="15" sheetId="8" r:id="rId4"/>
    <sheet name="20" sheetId="7" r:id="rId5"/>
    <sheet name="25" sheetId="1" r:id="rId6"/>
    <sheet name="Planilha2" sheetId="3" state="hidden" r:id="rId7"/>
    <sheet name="Planilha1" sheetId="2" state="hidden" r:id="rId8"/>
  </sheets>
  <calcPr calcId="191029"/>
</workbook>
</file>

<file path=xl/calcChain.xml><?xml version="1.0" encoding="utf-8"?>
<calcChain xmlns="http://schemas.openxmlformats.org/spreadsheetml/2006/main">
  <c r="C6" i="15" l="1"/>
  <c r="I9" i="15"/>
  <c r="I8" i="15"/>
  <c r="I7" i="15"/>
  <c r="I6" i="15"/>
  <c r="I9" i="13"/>
  <c r="H9" i="13" s="1"/>
  <c r="I10" i="13"/>
  <c r="H10" i="13" s="1"/>
  <c r="I11" i="13"/>
  <c r="H11" i="13" s="1"/>
  <c r="I12" i="13"/>
  <c r="H12" i="13" s="1"/>
  <c r="I13" i="13"/>
  <c r="H13" i="13" s="1"/>
  <c r="I14" i="13"/>
  <c r="H14" i="13" s="1"/>
  <c r="I15" i="13"/>
  <c r="H15" i="13" s="1"/>
  <c r="I16" i="13"/>
  <c r="H16" i="13" s="1"/>
  <c r="I17" i="13"/>
  <c r="H17" i="13" s="1"/>
  <c r="I18" i="13"/>
  <c r="H18" i="13" s="1"/>
  <c r="I8" i="13"/>
  <c r="H8" i="13" s="1"/>
  <c r="I7" i="13"/>
  <c r="H7" i="13" s="1"/>
  <c r="G9" i="13"/>
  <c r="F9" i="13" s="1"/>
  <c r="G10" i="13"/>
  <c r="G11" i="13"/>
  <c r="G12" i="13"/>
  <c r="F12" i="13" s="1"/>
  <c r="G13" i="13"/>
  <c r="F13" i="13" s="1"/>
  <c r="G14" i="13"/>
  <c r="F14" i="13" s="1"/>
  <c r="G15" i="13"/>
  <c r="F15" i="13" s="1"/>
  <c r="G16" i="13"/>
  <c r="F16" i="13" s="1"/>
  <c r="G17" i="13"/>
  <c r="F17" i="13" s="1"/>
  <c r="G18" i="13"/>
  <c r="G8" i="13"/>
  <c r="F8" i="13"/>
  <c r="G7" i="13"/>
  <c r="F7" i="13" s="1"/>
  <c r="F18" i="13"/>
  <c r="F11" i="13"/>
  <c r="F10" i="13"/>
  <c r="E17" i="13"/>
  <c r="D17" i="13" s="1"/>
  <c r="E16" i="13"/>
  <c r="D16" i="13" s="1"/>
  <c r="E15" i="13"/>
  <c r="D15" i="13" s="1"/>
  <c r="E14" i="13"/>
  <c r="D14" i="13" s="1"/>
  <c r="E13" i="13"/>
  <c r="D13" i="13" s="1"/>
  <c r="E12" i="13"/>
  <c r="D12" i="13" s="1"/>
  <c r="E11" i="13"/>
  <c r="D11" i="13" s="1"/>
  <c r="E10" i="13"/>
  <c r="D10" i="13" s="1"/>
  <c r="E9" i="13"/>
  <c r="D9" i="13" s="1"/>
  <c r="E8" i="13"/>
  <c r="D8" i="13" s="1"/>
  <c r="E7" i="13"/>
  <c r="D7" i="13" s="1"/>
  <c r="E18" i="13"/>
  <c r="D18" i="13" s="1"/>
  <c r="C9" i="13"/>
  <c r="B9" i="13" s="1"/>
  <c r="C10" i="13"/>
  <c r="B10" i="13" s="1"/>
  <c r="C11" i="13"/>
  <c r="B11" i="13" s="1"/>
  <c r="C12" i="13"/>
  <c r="B12" i="13" s="1"/>
  <c r="C13" i="13"/>
  <c r="B13" i="13" s="1"/>
  <c r="C14" i="13"/>
  <c r="B14" i="13" s="1"/>
  <c r="C15" i="13"/>
  <c r="B15" i="13" s="1"/>
  <c r="C16" i="13"/>
  <c r="B16" i="13" s="1"/>
  <c r="C17" i="13"/>
  <c r="B17" i="13" s="1"/>
  <c r="C18" i="13"/>
  <c r="B18" i="13" s="1"/>
  <c r="C8" i="13"/>
  <c r="B8" i="13" s="1"/>
  <c r="C7" i="13"/>
  <c r="B7" i="13" s="1"/>
  <c r="G9" i="15"/>
  <c r="F9" i="15"/>
  <c r="E9" i="15"/>
  <c r="C9" i="15"/>
  <c r="G8" i="15"/>
  <c r="F8" i="15"/>
  <c r="F7" i="15"/>
  <c r="E8" i="15"/>
  <c r="E7" i="15"/>
  <c r="E6" i="15"/>
  <c r="D6" i="15"/>
  <c r="D7" i="15"/>
  <c r="C8" i="15"/>
  <c r="C7" i="15"/>
  <c r="H9" i="15"/>
  <c r="H8" i="15"/>
  <c r="H7" i="15"/>
  <c r="H6" i="15"/>
  <c r="G7" i="15"/>
  <c r="G6" i="15"/>
  <c r="F6" i="15"/>
  <c r="B20" i="7" l="1"/>
  <c r="B29" i="8"/>
  <c r="E29" i="8" s="1"/>
  <c r="J29" i="8" s="1"/>
  <c r="H29" i="8" s="1"/>
  <c r="I29" i="8" s="1"/>
  <c r="K29" i="8" s="1"/>
  <c r="B9" i="11"/>
  <c r="E9" i="11" s="1"/>
  <c r="J9" i="11" s="1"/>
  <c r="H9" i="11" s="1"/>
  <c r="O34" i="11"/>
  <c r="O32" i="11"/>
  <c r="O30" i="11"/>
  <c r="O29" i="11"/>
  <c r="O28" i="11"/>
  <c r="O27" i="11"/>
  <c r="O26" i="11"/>
  <c r="O25" i="11"/>
  <c r="O24" i="11"/>
  <c r="O23" i="11"/>
  <c r="O22" i="11"/>
  <c r="O34" i="8"/>
  <c r="O32" i="8"/>
  <c r="O30" i="8"/>
  <c r="O29" i="8"/>
  <c r="O28" i="8"/>
  <c r="O27" i="8"/>
  <c r="O26" i="8"/>
  <c r="O25" i="8"/>
  <c r="O24" i="8"/>
  <c r="O23" i="8"/>
  <c r="O22" i="8"/>
  <c r="O34" i="7"/>
  <c r="O32" i="7"/>
  <c r="O30" i="7"/>
  <c r="O29" i="7"/>
  <c r="O28" i="7"/>
  <c r="O27" i="7"/>
  <c r="O26" i="7"/>
  <c r="O25" i="7"/>
  <c r="O24" i="7"/>
  <c r="O23" i="7"/>
  <c r="O22" i="7"/>
  <c r="B18" i="7" l="1"/>
  <c r="C18" i="7" s="1"/>
  <c r="F18" i="7" s="1"/>
  <c r="B24" i="7"/>
  <c r="C24" i="7" s="1"/>
  <c r="F24" i="7" s="1"/>
  <c r="B16" i="8"/>
  <c r="C16" i="8" s="1"/>
  <c r="F16" i="8" s="1"/>
  <c r="B17" i="7"/>
  <c r="C17" i="7" s="1"/>
  <c r="F17" i="7" s="1"/>
  <c r="B27" i="7"/>
  <c r="E27" i="7" s="1"/>
  <c r="J27" i="7" s="1"/>
  <c r="H27" i="7" s="1"/>
  <c r="I27" i="7" s="1"/>
  <c r="K27" i="7" s="1"/>
  <c r="B17" i="8"/>
  <c r="E17" i="8" s="1"/>
  <c r="J17" i="8" s="1"/>
  <c r="H17" i="8" s="1"/>
  <c r="I17" i="8" s="1"/>
  <c r="B23" i="7"/>
  <c r="E23" i="7" s="1"/>
  <c r="J23" i="7" s="1"/>
  <c r="H23" i="7" s="1"/>
  <c r="I23" i="7" s="1"/>
  <c r="K23" i="7" s="1"/>
  <c r="O5" i="7"/>
  <c r="Q34" i="7" s="1"/>
  <c r="B12" i="7"/>
  <c r="C12" i="7" s="1"/>
  <c r="F12" i="7" s="1"/>
  <c r="B13" i="7"/>
  <c r="C13" i="7" s="1"/>
  <c r="F13" i="7" s="1"/>
  <c r="C5" i="8"/>
  <c r="H5" i="8" s="1"/>
  <c r="B8" i="15" s="1"/>
  <c r="B14" i="8"/>
  <c r="C14" i="8" s="1"/>
  <c r="F14" i="8" s="1"/>
  <c r="B23" i="8"/>
  <c r="C23" i="8" s="1"/>
  <c r="F23" i="8" s="1"/>
  <c r="B18" i="8"/>
  <c r="C18" i="8" s="1"/>
  <c r="F18" i="8" s="1"/>
  <c r="B34" i="11"/>
  <c r="C34" i="11" s="1"/>
  <c r="F34" i="11" s="1"/>
  <c r="B20" i="8"/>
  <c r="E20" i="8" s="1"/>
  <c r="J20" i="8" s="1"/>
  <c r="H20" i="8" s="1"/>
  <c r="I20" i="8" s="1"/>
  <c r="B29" i="7"/>
  <c r="E29" i="7" s="1"/>
  <c r="J29" i="7" s="1"/>
  <c r="H29" i="7" s="1"/>
  <c r="I29" i="7" s="1"/>
  <c r="K29" i="7" s="1"/>
  <c r="B24" i="11"/>
  <c r="E24" i="11" s="1"/>
  <c r="J24" i="11" s="1"/>
  <c r="H24" i="11" s="1"/>
  <c r="I24" i="11" s="1"/>
  <c r="K24" i="11" s="1"/>
  <c r="C5" i="11"/>
  <c r="H5" i="11" s="1"/>
  <c r="B9" i="15" s="1"/>
  <c r="B27" i="8"/>
  <c r="E27" i="8" s="1"/>
  <c r="J27" i="8" s="1"/>
  <c r="H27" i="8" s="1"/>
  <c r="B29" i="11"/>
  <c r="E29" i="11" s="1"/>
  <c r="J29" i="11" s="1"/>
  <c r="H29" i="11" s="1"/>
  <c r="I29" i="11" s="1"/>
  <c r="K29" i="11" s="1"/>
  <c r="O5" i="8"/>
  <c r="Q20" i="8" s="1"/>
  <c r="B19" i="8"/>
  <c r="E19" i="8" s="1"/>
  <c r="J19" i="8" s="1"/>
  <c r="H19" i="8" s="1"/>
  <c r="I19" i="8" s="1"/>
  <c r="B34" i="8"/>
  <c r="C34" i="8" s="1"/>
  <c r="F34" i="8" s="1"/>
  <c r="B12" i="8"/>
  <c r="C12" i="8" s="1"/>
  <c r="F12" i="8" s="1"/>
  <c r="B21" i="8"/>
  <c r="E21" i="8" s="1"/>
  <c r="J21" i="8" s="1"/>
  <c r="H21" i="8" s="1"/>
  <c r="I21" i="8" s="1"/>
  <c r="B15" i="7"/>
  <c r="E15" i="7" s="1"/>
  <c r="J15" i="7" s="1"/>
  <c r="H15" i="7" s="1"/>
  <c r="I15" i="7" s="1"/>
  <c r="B25" i="7"/>
  <c r="E25" i="7" s="1"/>
  <c r="J25" i="7" s="1"/>
  <c r="H25" i="7" s="1"/>
  <c r="I25" i="7" s="1"/>
  <c r="K25" i="7" s="1"/>
  <c r="B30" i="7"/>
  <c r="E30" i="7" s="1"/>
  <c r="J30" i="7" s="1"/>
  <c r="H30" i="7" s="1"/>
  <c r="I30" i="7" s="1"/>
  <c r="K30" i="7" s="1"/>
  <c r="B13" i="8"/>
  <c r="E13" i="8" s="1"/>
  <c r="J13" i="8" s="1"/>
  <c r="H13" i="8" s="1"/>
  <c r="I13" i="8" s="1"/>
  <c r="B28" i="8"/>
  <c r="E28" i="8" s="1"/>
  <c r="J28" i="8" s="1"/>
  <c r="H28" i="8" s="1"/>
  <c r="B21" i="11"/>
  <c r="E21" i="11" s="1"/>
  <c r="J21" i="11" s="1"/>
  <c r="H21" i="11" s="1"/>
  <c r="I21" i="11" s="1"/>
  <c r="B28" i="11"/>
  <c r="E28" i="11" s="1"/>
  <c r="J28" i="11" s="1"/>
  <c r="H28" i="11" s="1"/>
  <c r="I28" i="11" s="1"/>
  <c r="K28" i="11" s="1"/>
  <c r="B14" i="11"/>
  <c r="E14" i="11" s="1"/>
  <c r="J14" i="11" s="1"/>
  <c r="H14" i="11" s="1"/>
  <c r="I14" i="11" s="1"/>
  <c r="B30" i="11"/>
  <c r="E30" i="11" s="1"/>
  <c r="J30" i="11" s="1"/>
  <c r="H30" i="11" s="1"/>
  <c r="I30" i="11" s="1"/>
  <c r="K30" i="11" s="1"/>
  <c r="B9" i="8"/>
  <c r="C9" i="8" s="1"/>
  <c r="F9" i="8" s="1"/>
  <c r="B15" i="8"/>
  <c r="E15" i="8" s="1"/>
  <c r="J15" i="8" s="1"/>
  <c r="H15" i="8" s="1"/>
  <c r="B25" i="8"/>
  <c r="B18" i="11"/>
  <c r="E18" i="11" s="1"/>
  <c r="J18" i="11" s="1"/>
  <c r="H18" i="11" s="1"/>
  <c r="I18" i="11" s="1"/>
  <c r="B22" i="7"/>
  <c r="C22" i="7" s="1"/>
  <c r="F22" i="7" s="1"/>
  <c r="B26" i="7"/>
  <c r="C26" i="7" s="1"/>
  <c r="F26" i="7" s="1"/>
  <c r="B11" i="8"/>
  <c r="E11" i="8" s="1"/>
  <c r="J11" i="8" s="1"/>
  <c r="H11" i="8" s="1"/>
  <c r="B30" i="8"/>
  <c r="E30" i="8" s="1"/>
  <c r="J30" i="8" s="1"/>
  <c r="H30" i="8" s="1"/>
  <c r="I30" i="8" s="1"/>
  <c r="K30" i="8" s="1"/>
  <c r="B19" i="11"/>
  <c r="E19" i="11" s="1"/>
  <c r="J19" i="11" s="1"/>
  <c r="H19" i="11" s="1"/>
  <c r="I19" i="11" s="1"/>
  <c r="B27" i="11"/>
  <c r="E27" i="11" s="1"/>
  <c r="J27" i="11" s="1"/>
  <c r="H27" i="11" s="1"/>
  <c r="I27" i="11" s="1"/>
  <c r="K27" i="11" s="1"/>
  <c r="C20" i="7"/>
  <c r="F20" i="7" s="1"/>
  <c r="E20" i="7"/>
  <c r="J20" i="7" s="1"/>
  <c r="H20" i="7" s="1"/>
  <c r="B34" i="7"/>
  <c r="C34" i="7" s="1"/>
  <c r="B9" i="7"/>
  <c r="C9" i="7" s="1"/>
  <c r="F9" i="7" s="1"/>
  <c r="B16" i="7"/>
  <c r="B21" i="7"/>
  <c r="E21" i="7" s="1"/>
  <c r="J21" i="7" s="1"/>
  <c r="H21" i="7" s="1"/>
  <c r="B11" i="7"/>
  <c r="E11" i="7" s="1"/>
  <c r="J11" i="7" s="1"/>
  <c r="H11" i="7" s="1"/>
  <c r="B32" i="7"/>
  <c r="C32" i="7" s="1"/>
  <c r="B19" i="7"/>
  <c r="E19" i="7" s="1"/>
  <c r="J19" i="7" s="1"/>
  <c r="H19" i="7" s="1"/>
  <c r="B28" i="7"/>
  <c r="E28" i="7" s="1"/>
  <c r="J28" i="7" s="1"/>
  <c r="H28" i="7" s="1"/>
  <c r="I28" i="7" s="1"/>
  <c r="K28" i="7" s="1"/>
  <c r="C5" i="7"/>
  <c r="H5" i="7" s="1"/>
  <c r="B7" i="15" s="1"/>
  <c r="B14" i="7"/>
  <c r="E14" i="7" s="1"/>
  <c r="J14" i="7" s="1"/>
  <c r="H14" i="7" s="1"/>
  <c r="B32" i="8"/>
  <c r="C32" i="8" s="1"/>
  <c r="E32" i="8" s="1"/>
  <c r="J32" i="8" s="1"/>
  <c r="B22" i="8"/>
  <c r="B24" i="8"/>
  <c r="B26" i="8"/>
  <c r="I9" i="11"/>
  <c r="B11" i="11"/>
  <c r="B13" i="11"/>
  <c r="E13" i="11" s="1"/>
  <c r="J13" i="11" s="1"/>
  <c r="H13" i="11" s="1"/>
  <c r="B16" i="11"/>
  <c r="B25" i="11"/>
  <c r="B22" i="11"/>
  <c r="E22" i="11" s="1"/>
  <c r="J22" i="11" s="1"/>
  <c r="H22" i="11" s="1"/>
  <c r="I22" i="11" s="1"/>
  <c r="K22" i="11" s="1"/>
  <c r="B20" i="11"/>
  <c r="B23" i="11"/>
  <c r="E23" i="11" s="1"/>
  <c r="J23" i="11" s="1"/>
  <c r="H23" i="11" s="1"/>
  <c r="I23" i="11" s="1"/>
  <c r="K23" i="11" s="1"/>
  <c r="B26" i="11"/>
  <c r="O5" i="11"/>
  <c r="Q13" i="11" s="1"/>
  <c r="B12" i="11"/>
  <c r="B15" i="11"/>
  <c r="B17" i="11"/>
  <c r="E17" i="11" s="1"/>
  <c r="J17" i="11" s="1"/>
  <c r="H17" i="11" s="1"/>
  <c r="B32" i="11"/>
  <c r="C32" i="11" s="1"/>
  <c r="F32" i="11" s="1"/>
  <c r="C9" i="11"/>
  <c r="F9" i="11" s="1"/>
  <c r="C29" i="8"/>
  <c r="F29" i="8" s="1"/>
  <c r="O30" i="1"/>
  <c r="B30" i="1"/>
  <c r="C30" i="1" s="1"/>
  <c r="O29" i="1"/>
  <c r="B29" i="1"/>
  <c r="E29" i="1" s="1"/>
  <c r="J29" i="1" s="1"/>
  <c r="H29" i="1" s="1"/>
  <c r="I29" i="1" s="1"/>
  <c r="O28" i="1"/>
  <c r="B28" i="1"/>
  <c r="E28" i="1" s="1"/>
  <c r="J28" i="1" s="1"/>
  <c r="H28" i="1" s="1"/>
  <c r="I28" i="1" s="1"/>
  <c r="B13" i="1"/>
  <c r="E13" i="1" s="1"/>
  <c r="J8" i="15" l="1"/>
  <c r="K8" i="15" s="1"/>
  <c r="J7" i="15"/>
  <c r="K7" i="15" s="1"/>
  <c r="J9" i="15"/>
  <c r="K9" i="15" s="1"/>
  <c r="E18" i="7"/>
  <c r="J18" i="7" s="1"/>
  <c r="H18" i="7" s="1"/>
  <c r="I18" i="7" s="1"/>
  <c r="E13" i="7"/>
  <c r="J13" i="7" s="1"/>
  <c r="H13" i="7" s="1"/>
  <c r="E17" i="7"/>
  <c r="J17" i="7" s="1"/>
  <c r="H17" i="7" s="1"/>
  <c r="I17" i="7" s="1"/>
  <c r="P21" i="7"/>
  <c r="C17" i="8"/>
  <c r="F17" i="8" s="1"/>
  <c r="C27" i="7"/>
  <c r="F27" i="7" s="1"/>
  <c r="I28" i="8"/>
  <c r="K28" i="8" s="1"/>
  <c r="I27" i="8"/>
  <c r="K27" i="8" s="1"/>
  <c r="E24" i="7"/>
  <c r="J24" i="7" s="1"/>
  <c r="H24" i="7" s="1"/>
  <c r="I24" i="7" s="1"/>
  <c r="K24" i="7" s="1"/>
  <c r="Q12" i="7"/>
  <c r="P18" i="7"/>
  <c r="Q18" i="7"/>
  <c r="Q16" i="7"/>
  <c r="P9" i="7"/>
  <c r="Q30" i="7"/>
  <c r="P25" i="7"/>
  <c r="E16" i="8"/>
  <c r="J16" i="8" s="1"/>
  <c r="H16" i="8" s="1"/>
  <c r="I16" i="8" s="1"/>
  <c r="Q26" i="7"/>
  <c r="K20" i="8"/>
  <c r="Q22" i="7"/>
  <c r="K15" i="7"/>
  <c r="K17" i="8"/>
  <c r="K9" i="11"/>
  <c r="P24" i="7"/>
  <c r="P16" i="7"/>
  <c r="Q17" i="7"/>
  <c r="K19" i="8"/>
  <c r="P12" i="7"/>
  <c r="P30" i="7"/>
  <c r="C23" i="7"/>
  <c r="F23" i="7" s="1"/>
  <c r="K18" i="11"/>
  <c r="P32" i="7"/>
  <c r="Q9" i="7"/>
  <c r="K21" i="11"/>
  <c r="Q23" i="7"/>
  <c r="Q27" i="7"/>
  <c r="Q19" i="7"/>
  <c r="E12" i="7"/>
  <c r="J12" i="7" s="1"/>
  <c r="H12" i="7" s="1"/>
  <c r="P29" i="7"/>
  <c r="Q28" i="7"/>
  <c r="K14" i="11"/>
  <c r="P34" i="7"/>
  <c r="K19" i="11"/>
  <c r="Q29" i="7"/>
  <c r="P28" i="7"/>
  <c r="K21" i="8"/>
  <c r="P26" i="7"/>
  <c r="Q25" i="7"/>
  <c r="Q20" i="7"/>
  <c r="P22" i="7"/>
  <c r="Q32" i="7"/>
  <c r="Q24" i="7"/>
  <c r="K13" i="8"/>
  <c r="P19" i="7"/>
  <c r="C20" i="8"/>
  <c r="F20" i="8" s="1"/>
  <c r="Q21" i="7"/>
  <c r="P23" i="7"/>
  <c r="Q14" i="7"/>
  <c r="Q15" i="7"/>
  <c r="P15" i="7"/>
  <c r="P17" i="7"/>
  <c r="P23" i="8"/>
  <c r="Q13" i="7"/>
  <c r="P20" i="7"/>
  <c r="P27" i="7"/>
  <c r="Q11" i="7"/>
  <c r="P11" i="7"/>
  <c r="P14" i="7"/>
  <c r="P13" i="7"/>
  <c r="Q12" i="8"/>
  <c r="Q17" i="8"/>
  <c r="Q26" i="8"/>
  <c r="Q28" i="8"/>
  <c r="Q11" i="8"/>
  <c r="G24" i="13"/>
  <c r="Q13" i="8"/>
  <c r="P27" i="8"/>
  <c r="E18" i="8"/>
  <c r="J18" i="8" s="1"/>
  <c r="H18" i="8" s="1"/>
  <c r="E14" i="8"/>
  <c r="J14" i="8" s="1"/>
  <c r="H14" i="8" s="1"/>
  <c r="I14" i="8" s="1"/>
  <c r="Q14" i="11"/>
  <c r="E34" i="11"/>
  <c r="J34" i="11" s="1"/>
  <c r="C24" i="11"/>
  <c r="F24" i="11" s="1"/>
  <c r="C29" i="7"/>
  <c r="F29" i="7" s="1"/>
  <c r="E23" i="8"/>
  <c r="J23" i="8" s="1"/>
  <c r="H23" i="8" s="1"/>
  <c r="P24" i="11"/>
  <c r="P32" i="8"/>
  <c r="P20" i="8"/>
  <c r="P26" i="8"/>
  <c r="P24" i="8"/>
  <c r="E22" i="7"/>
  <c r="J22" i="7" s="1"/>
  <c r="H22" i="7" s="1"/>
  <c r="I22" i="7" s="1"/>
  <c r="K22" i="7" s="1"/>
  <c r="Q27" i="8"/>
  <c r="Q29" i="8"/>
  <c r="Q19" i="8"/>
  <c r="C27" i="8"/>
  <c r="F27" i="8" s="1"/>
  <c r="Q24" i="8"/>
  <c r="P30" i="8"/>
  <c r="P12" i="8"/>
  <c r="Q18" i="8"/>
  <c r="P29" i="8"/>
  <c r="Q15" i="8"/>
  <c r="P22" i="8"/>
  <c r="P16" i="8"/>
  <c r="E34" i="8"/>
  <c r="J34" i="8" s="1"/>
  <c r="C29" i="11"/>
  <c r="F29" i="11" s="1"/>
  <c r="Q22" i="8"/>
  <c r="Q32" i="8"/>
  <c r="P18" i="8"/>
  <c r="P25" i="8"/>
  <c r="P26" i="11"/>
  <c r="Q16" i="8"/>
  <c r="Q30" i="8"/>
  <c r="Q9" i="8"/>
  <c r="P14" i="8"/>
  <c r="P17" i="8"/>
  <c r="P28" i="8"/>
  <c r="P22" i="11"/>
  <c r="Q23" i="11"/>
  <c r="Q23" i="8"/>
  <c r="P19" i="11"/>
  <c r="C13" i="11"/>
  <c r="F13" i="11" s="1"/>
  <c r="Q14" i="8"/>
  <c r="P21" i="8"/>
  <c r="P34" i="11"/>
  <c r="P34" i="8"/>
  <c r="Q21" i="8"/>
  <c r="P9" i="8"/>
  <c r="P13" i="8"/>
  <c r="Q25" i="8"/>
  <c r="Q18" i="11"/>
  <c r="C21" i="8"/>
  <c r="F21" i="8" s="1"/>
  <c r="P15" i="8"/>
  <c r="C25" i="7"/>
  <c r="F25" i="7" s="1"/>
  <c r="E26" i="7"/>
  <c r="J26" i="7" s="1"/>
  <c r="H26" i="7" s="1"/>
  <c r="I26" i="7" s="1"/>
  <c r="K26" i="7" s="1"/>
  <c r="C15" i="7"/>
  <c r="F15" i="7" s="1"/>
  <c r="C21" i="7"/>
  <c r="F21" i="7" s="1"/>
  <c r="C11" i="7"/>
  <c r="F11" i="7" s="1"/>
  <c r="C19" i="8"/>
  <c r="F19" i="8" s="1"/>
  <c r="C28" i="8"/>
  <c r="F28" i="8" s="1"/>
  <c r="E12" i="8"/>
  <c r="J12" i="8" s="1"/>
  <c r="H12" i="8" s="1"/>
  <c r="C21" i="11"/>
  <c r="F21" i="11" s="1"/>
  <c r="G25" i="13"/>
  <c r="C18" i="11"/>
  <c r="F18" i="11" s="1"/>
  <c r="C28" i="7"/>
  <c r="F28" i="7" s="1"/>
  <c r="P15" i="11"/>
  <c r="P18" i="11"/>
  <c r="Q28" i="11"/>
  <c r="C28" i="11"/>
  <c r="F28" i="11" s="1"/>
  <c r="P19" i="8"/>
  <c r="C11" i="8"/>
  <c r="F11" i="8" s="1"/>
  <c r="F32" i="8"/>
  <c r="C27" i="11"/>
  <c r="F27" i="11" s="1"/>
  <c r="C15" i="8"/>
  <c r="F15" i="8" s="1"/>
  <c r="P11" i="11"/>
  <c r="Q29" i="11"/>
  <c r="C30" i="7"/>
  <c r="F30" i="7" s="1"/>
  <c r="C13" i="8"/>
  <c r="F13" i="8" s="1"/>
  <c r="Q34" i="8"/>
  <c r="P11" i="8"/>
  <c r="P32" i="11"/>
  <c r="Q21" i="11"/>
  <c r="C19" i="11"/>
  <c r="F19" i="11" s="1"/>
  <c r="Q30" i="11"/>
  <c r="Q25" i="11"/>
  <c r="P25" i="11"/>
  <c r="C30" i="11"/>
  <c r="F30" i="11" s="1"/>
  <c r="P27" i="11"/>
  <c r="Q17" i="11"/>
  <c r="C25" i="8"/>
  <c r="F25" i="8" s="1"/>
  <c r="E25" i="8"/>
  <c r="J25" i="8" s="1"/>
  <c r="H25" i="8" s="1"/>
  <c r="E9" i="8"/>
  <c r="J9" i="8" s="1"/>
  <c r="H9" i="8" s="1"/>
  <c r="I9" i="8" s="1"/>
  <c r="C30" i="8"/>
  <c r="F30" i="8" s="1"/>
  <c r="Q32" i="11"/>
  <c r="C14" i="11"/>
  <c r="F14" i="11" s="1"/>
  <c r="P28" i="11"/>
  <c r="I11" i="8"/>
  <c r="P30" i="11"/>
  <c r="Q22" i="11"/>
  <c r="Q27" i="11"/>
  <c r="Q24" i="11"/>
  <c r="I15" i="8"/>
  <c r="I19" i="7"/>
  <c r="C16" i="7"/>
  <c r="F16" i="7" s="1"/>
  <c r="E16" i="7"/>
  <c r="J16" i="7" s="1"/>
  <c r="H16" i="7" s="1"/>
  <c r="I14" i="7"/>
  <c r="E9" i="7"/>
  <c r="J9" i="7" s="1"/>
  <c r="H9" i="7" s="1"/>
  <c r="I11" i="7"/>
  <c r="E34" i="7"/>
  <c r="J34" i="7" s="1"/>
  <c r="F34" i="7"/>
  <c r="F32" i="7"/>
  <c r="E32" i="7"/>
  <c r="J32" i="7" s="1"/>
  <c r="C19" i="7"/>
  <c r="F19" i="7" s="1"/>
  <c r="I20" i="7"/>
  <c r="I21" i="7"/>
  <c r="C14" i="7"/>
  <c r="F14" i="7" s="1"/>
  <c r="E26" i="8"/>
  <c r="J26" i="8" s="1"/>
  <c r="H26" i="8" s="1"/>
  <c r="C26" i="8"/>
  <c r="F26" i="8" s="1"/>
  <c r="C22" i="8"/>
  <c r="F22" i="8" s="1"/>
  <c r="E22" i="8"/>
  <c r="J22" i="8" s="1"/>
  <c r="H22" i="8" s="1"/>
  <c r="E24" i="8"/>
  <c r="J24" i="8" s="1"/>
  <c r="H24" i="8" s="1"/>
  <c r="C24" i="8"/>
  <c r="F24" i="8" s="1"/>
  <c r="C26" i="11"/>
  <c r="F26" i="11" s="1"/>
  <c r="E26" i="11"/>
  <c r="J26" i="11" s="1"/>
  <c r="H26" i="11" s="1"/>
  <c r="I26" i="11" s="1"/>
  <c r="K26" i="11" s="1"/>
  <c r="C16" i="11"/>
  <c r="F16" i="11" s="1"/>
  <c r="E16" i="11"/>
  <c r="J16" i="11" s="1"/>
  <c r="H16" i="11" s="1"/>
  <c r="E32" i="11"/>
  <c r="J32" i="11" s="1"/>
  <c r="I13" i="11"/>
  <c r="I17" i="11"/>
  <c r="C23" i="11"/>
  <c r="F23" i="11" s="1"/>
  <c r="C15" i="11"/>
  <c r="F15" i="11" s="1"/>
  <c r="E15" i="11"/>
  <c r="J15" i="11" s="1"/>
  <c r="H15" i="11" s="1"/>
  <c r="E11" i="11"/>
  <c r="J11" i="11" s="1"/>
  <c r="H11" i="11" s="1"/>
  <c r="C11" i="11"/>
  <c r="F11" i="11" s="1"/>
  <c r="C12" i="11"/>
  <c r="F12" i="11" s="1"/>
  <c r="E12" i="11"/>
  <c r="J12" i="11" s="1"/>
  <c r="H12" i="11" s="1"/>
  <c r="C17" i="11"/>
  <c r="F17" i="11" s="1"/>
  <c r="Q34" i="11"/>
  <c r="Q26" i="11"/>
  <c r="Q20" i="11"/>
  <c r="P23" i="11"/>
  <c r="P20" i="11"/>
  <c r="P17" i="11"/>
  <c r="Q16" i="11"/>
  <c r="P14" i="11"/>
  <c r="Q11" i="11"/>
  <c r="Q19" i="11"/>
  <c r="P16" i="11"/>
  <c r="P12" i="11"/>
  <c r="P29" i="11"/>
  <c r="P13" i="11"/>
  <c r="Q15" i="11"/>
  <c r="Q9" i="11"/>
  <c r="P9" i="11"/>
  <c r="P21" i="11"/>
  <c r="Q12" i="11"/>
  <c r="C25" i="11"/>
  <c r="F25" i="11" s="1"/>
  <c r="E25" i="11"/>
  <c r="J25" i="11" s="1"/>
  <c r="H25" i="11" s="1"/>
  <c r="I25" i="11" s="1"/>
  <c r="K25" i="11" s="1"/>
  <c r="C20" i="11"/>
  <c r="F20" i="11" s="1"/>
  <c r="E20" i="11"/>
  <c r="J20" i="11" s="1"/>
  <c r="H20" i="11" s="1"/>
  <c r="C22" i="11"/>
  <c r="F22" i="11" s="1"/>
  <c r="C29" i="1"/>
  <c r="F29" i="1" s="1"/>
  <c r="C28" i="1"/>
  <c r="F28" i="1" s="1"/>
  <c r="F30" i="1"/>
  <c r="K29" i="1"/>
  <c r="K28" i="1"/>
  <c r="E30" i="1"/>
  <c r="J30" i="1" s="1"/>
  <c r="H30" i="1" s="1"/>
  <c r="O27" i="1"/>
  <c r="O26" i="1"/>
  <c r="O25" i="1"/>
  <c r="O24" i="1"/>
  <c r="O23" i="1"/>
  <c r="O22" i="1"/>
  <c r="B27" i="1"/>
  <c r="C27" i="1" s="1"/>
  <c r="B26" i="1"/>
  <c r="C26" i="1" s="1"/>
  <c r="B25" i="1"/>
  <c r="C25" i="1" s="1"/>
  <c r="B24" i="1"/>
  <c r="C24" i="1" s="1"/>
  <c r="B23" i="1"/>
  <c r="C23" i="1" s="1"/>
  <c r="B22" i="1"/>
  <c r="C22" i="1" s="1"/>
  <c r="I13" i="7" l="1"/>
  <c r="I12" i="7"/>
  <c r="I23" i="8"/>
  <c r="K23" i="8" s="1"/>
  <c r="I18" i="8"/>
  <c r="K18" i="8" s="1"/>
  <c r="K9" i="8"/>
  <c r="K11" i="8"/>
  <c r="K17" i="11"/>
  <c r="K13" i="11"/>
  <c r="K16" i="8"/>
  <c r="K21" i="7"/>
  <c r="G20" i="13"/>
  <c r="K11" i="7"/>
  <c r="K18" i="7"/>
  <c r="K15" i="8"/>
  <c r="K20" i="7"/>
  <c r="K19" i="7"/>
  <c r="K14" i="7"/>
  <c r="K14" i="8"/>
  <c r="K17" i="7"/>
  <c r="I12" i="8"/>
  <c r="I25" i="8"/>
  <c r="K25" i="8" s="1"/>
  <c r="G22" i="13"/>
  <c r="I9" i="7"/>
  <c r="I16" i="7"/>
  <c r="I22" i="8"/>
  <c r="K22" i="8" s="1"/>
  <c r="G19" i="13"/>
  <c r="I26" i="8"/>
  <c r="K26" i="8" s="1"/>
  <c r="G23" i="13"/>
  <c r="I24" i="8"/>
  <c r="K24" i="8" s="1"/>
  <c r="G21" i="13"/>
  <c r="I20" i="11"/>
  <c r="I12" i="11"/>
  <c r="I15" i="11"/>
  <c r="I16" i="11"/>
  <c r="I11" i="11"/>
  <c r="I30" i="1"/>
  <c r="K30" i="1" s="1"/>
  <c r="F22" i="1"/>
  <c r="E22" i="1"/>
  <c r="J22" i="1" s="1"/>
  <c r="H22" i="1" s="1"/>
  <c r="F26" i="1"/>
  <c r="E26" i="1"/>
  <c r="J26" i="1" s="1"/>
  <c r="H26" i="1" s="1"/>
  <c r="F23" i="1"/>
  <c r="E23" i="1"/>
  <c r="J23" i="1" s="1"/>
  <c r="H23" i="1" s="1"/>
  <c r="F27" i="1"/>
  <c r="E27" i="1"/>
  <c r="J27" i="1" s="1"/>
  <c r="H27" i="1" s="1"/>
  <c r="F24" i="1"/>
  <c r="E24" i="1"/>
  <c r="J24" i="1" s="1"/>
  <c r="H24" i="1" s="1"/>
  <c r="F25" i="1"/>
  <c r="E25" i="1"/>
  <c r="J25" i="1" s="1"/>
  <c r="H25" i="1" s="1"/>
  <c r="O5" i="1"/>
  <c r="K13" i="7" l="1"/>
  <c r="K12" i="7"/>
  <c r="K11" i="11"/>
  <c r="K20" i="11"/>
  <c r="K16" i="7"/>
  <c r="K12" i="8"/>
  <c r="K16" i="11"/>
  <c r="K9" i="7"/>
  <c r="K15" i="11"/>
  <c r="K12" i="11"/>
  <c r="P30" i="1"/>
  <c r="P26" i="1"/>
  <c r="P22" i="1"/>
  <c r="Q29" i="1"/>
  <c r="Q28" i="1"/>
  <c r="P29" i="1"/>
  <c r="P25" i="1"/>
  <c r="Q30" i="1"/>
  <c r="P28" i="1"/>
  <c r="P24" i="1"/>
  <c r="P27" i="1"/>
  <c r="P23" i="1"/>
  <c r="I22" i="1"/>
  <c r="K22" i="1" s="1"/>
  <c r="I23" i="1"/>
  <c r="K23" i="1" s="1"/>
  <c r="I24" i="1"/>
  <c r="K24" i="1" s="1"/>
  <c r="I27" i="1"/>
  <c r="K27" i="1" s="1"/>
  <c r="I25" i="1"/>
  <c r="K25" i="1" s="1"/>
  <c r="I26" i="1"/>
  <c r="K26" i="1" s="1"/>
  <c r="Q21" i="1"/>
  <c r="Q26" i="1"/>
  <c r="Q22" i="1"/>
  <c r="Q24" i="1"/>
  <c r="Q25" i="1"/>
  <c r="Q23" i="1"/>
  <c r="Q27" i="1"/>
  <c r="P34" i="1"/>
  <c r="P32" i="1"/>
  <c r="P21" i="1"/>
  <c r="P20" i="1"/>
  <c r="P19" i="1"/>
  <c r="P18" i="1"/>
  <c r="P17" i="1"/>
  <c r="P16" i="1"/>
  <c r="P15" i="1"/>
  <c r="P14" i="1"/>
  <c r="P13" i="1"/>
  <c r="P12" i="1"/>
  <c r="P11" i="1"/>
  <c r="P9" i="1"/>
  <c r="B34" i="1"/>
  <c r="C34" i="1" s="1"/>
  <c r="B32" i="1"/>
  <c r="C32" i="1" s="1"/>
  <c r="O34" i="1"/>
  <c r="O32" i="1"/>
  <c r="Q34" i="1"/>
  <c r="Q32" i="1"/>
  <c r="F34" i="1" l="1"/>
  <c r="E34" i="1"/>
  <c r="J34" i="1" s="1"/>
  <c r="F32" i="1"/>
  <c r="E32" i="1"/>
  <c r="J32" i="1" s="1"/>
  <c r="B9" i="1"/>
  <c r="E9" i="1" s="1"/>
  <c r="Q20" i="1"/>
  <c r="Q19" i="1"/>
  <c r="Q18" i="1"/>
  <c r="Q17" i="1"/>
  <c r="Q16" i="1"/>
  <c r="Q15" i="1"/>
  <c r="Q14" i="1"/>
  <c r="Q13" i="1"/>
  <c r="Q12" i="1"/>
  <c r="Q11" i="1"/>
  <c r="Q9" i="1"/>
  <c r="B15" i="1"/>
  <c r="E15" i="1" s="1"/>
  <c r="B11" i="1"/>
  <c r="E11" i="1" s="1"/>
  <c r="B12" i="1"/>
  <c r="E12" i="1" s="1"/>
  <c r="B14" i="1"/>
  <c r="E14" i="1" s="1"/>
  <c r="B16" i="1"/>
  <c r="E16" i="1" s="1"/>
  <c r="B17" i="1"/>
  <c r="E17" i="1" s="1"/>
  <c r="B18" i="1"/>
  <c r="E18" i="1" s="1"/>
  <c r="B19" i="1"/>
  <c r="E19" i="1" s="1"/>
  <c r="B20" i="1"/>
  <c r="B21" i="1"/>
  <c r="E21" i="1" s="1"/>
  <c r="C20" i="1" l="1"/>
  <c r="F20" i="1" s="1"/>
  <c r="E20" i="1"/>
  <c r="J9" i="1"/>
  <c r="C5" i="1" l="1"/>
  <c r="H5" i="1" l="1"/>
  <c r="J6" i="15" s="1"/>
  <c r="K6" i="15" s="1"/>
  <c r="C11" i="1"/>
  <c r="F11" i="1" s="1"/>
  <c r="C12" i="1"/>
  <c r="F12" i="1" s="1"/>
  <c r="J13" i="1"/>
  <c r="C14" i="1"/>
  <c r="F14" i="1" s="1"/>
  <c r="J15" i="1"/>
  <c r="C16" i="1"/>
  <c r="F16" i="1" s="1"/>
  <c r="J17" i="1"/>
  <c r="C18" i="1"/>
  <c r="F18" i="1" s="1"/>
  <c r="J19" i="1"/>
  <c r="J21" i="1"/>
  <c r="C9" i="1" l="1"/>
  <c r="F9" i="1" s="1"/>
  <c r="H19" i="1"/>
  <c r="H17" i="1"/>
  <c r="H13" i="1"/>
  <c r="H15" i="1"/>
  <c r="H21" i="1"/>
  <c r="C21" i="1"/>
  <c r="F21" i="1" s="1"/>
  <c r="C19" i="1"/>
  <c r="F19" i="1" s="1"/>
  <c r="C17" i="1"/>
  <c r="F17" i="1" s="1"/>
  <c r="C15" i="1"/>
  <c r="F15" i="1" s="1"/>
  <c r="C13" i="1"/>
  <c r="F13" i="1" s="1"/>
  <c r="J20" i="1"/>
  <c r="J18" i="1"/>
  <c r="J16" i="1"/>
  <c r="J14" i="1"/>
  <c r="J12" i="1"/>
  <c r="J11" i="1"/>
  <c r="I21" i="1" l="1"/>
  <c r="I13" i="1"/>
  <c r="I15" i="1"/>
  <c r="I17" i="1"/>
  <c r="I19" i="1"/>
  <c r="H14" i="1"/>
  <c r="H16" i="1"/>
  <c r="H20" i="1"/>
  <c r="H11" i="1"/>
  <c r="H12" i="1"/>
  <c r="H18" i="1"/>
  <c r="H9" i="1"/>
  <c r="K17" i="1" l="1"/>
  <c r="K15" i="1"/>
  <c r="K13" i="1"/>
  <c r="K19" i="1"/>
  <c r="K21" i="1"/>
  <c r="I18" i="1"/>
  <c r="I16" i="1"/>
  <c r="I14" i="1"/>
  <c r="I12" i="1"/>
  <c r="I20" i="1"/>
  <c r="I11" i="1"/>
  <c r="I9" i="1"/>
  <c r="K14" i="1" l="1"/>
  <c r="K12" i="1"/>
  <c r="K9" i="1"/>
  <c r="K11" i="1"/>
  <c r="K16" i="1"/>
  <c r="K20" i="1"/>
  <c r="K18" i="1"/>
</calcChain>
</file>

<file path=xl/sharedStrings.xml><?xml version="1.0" encoding="utf-8"?>
<sst xmlns="http://schemas.openxmlformats.org/spreadsheetml/2006/main" count="270" uniqueCount="77">
  <si>
    <t>Crédito Parcelado 12x</t>
  </si>
  <si>
    <t>Crédito Parcelado 11x</t>
  </si>
  <si>
    <t>Crédito Parcelado 10x</t>
  </si>
  <si>
    <t>Crédito Parcelado 9x</t>
  </si>
  <si>
    <t>Crédito Parcelado 8x</t>
  </si>
  <si>
    <t>Crédito Parcelado 7x</t>
  </si>
  <si>
    <t>Crédito Parcelado 6x</t>
  </si>
  <si>
    <t>Crédito Parcelado 5x</t>
  </si>
  <si>
    <t>Crédito Parcelado 4x</t>
  </si>
  <si>
    <t>Crédito Parcelado 3x</t>
  </si>
  <si>
    <t>Crédito Parcelado 2x</t>
  </si>
  <si>
    <t>Credito à vista</t>
  </si>
  <si>
    <t>Coeficiente</t>
  </si>
  <si>
    <t>Fator</t>
  </si>
  <si>
    <t>CET</t>
  </si>
  <si>
    <t>Parcela</t>
  </si>
  <si>
    <t>Compra</t>
  </si>
  <si>
    <t>TIPO DE TRANSAÇÃO</t>
  </si>
  <si>
    <t>TABELA REFERENCIA</t>
  </si>
  <si>
    <t>GANHO LIQUIDO</t>
  </si>
  <si>
    <t>VALOR DO SERVIÇO</t>
  </si>
  <si>
    <t>Recebido
D+1</t>
  </si>
  <si>
    <t>CUSTO LOJISTA</t>
  </si>
  <si>
    <t>CUSTO CLIENTE</t>
  </si>
  <si>
    <t>VALOR DE SERVIÇO</t>
  </si>
  <si>
    <t>Débito (Visa/Master)</t>
  </si>
  <si>
    <t>Débito (Elo, Hiper e Amex)</t>
  </si>
  <si>
    <r>
      <t xml:space="preserve">VALOR RECEBIDO     </t>
    </r>
    <r>
      <rPr>
        <b/>
        <sz val="14"/>
        <color rgb="FFFF0000"/>
        <rFont val="Calibri"/>
        <family val="2"/>
        <scheme val="minor"/>
      </rPr>
      <t>(D+1)</t>
    </r>
  </si>
  <si>
    <t>Crédito Parcelado 13x</t>
  </si>
  <si>
    <t>Crédito Parcelado 14x</t>
  </si>
  <si>
    <t>Crédito Parcelado 15x</t>
  </si>
  <si>
    <t>Crédito Parcelado 16x</t>
  </si>
  <si>
    <t>Crédito Parcelado 17x</t>
  </si>
  <si>
    <t>Crédito Parcelado 18x</t>
  </si>
  <si>
    <t>Parcelas</t>
  </si>
  <si>
    <t>TABELA</t>
  </si>
  <si>
    <t>Crédito Parcelado 19</t>
  </si>
  <si>
    <t>Crédito Parcelado 20x</t>
  </si>
  <si>
    <t>Crédito Parcelado 21x</t>
  </si>
  <si>
    <t>Tabela 8 TB</t>
  </si>
  <si>
    <t>VALOR A RECEBER</t>
  </si>
  <si>
    <t>1X</t>
  </si>
  <si>
    <t>2X</t>
  </si>
  <si>
    <t>3X</t>
  </si>
  <si>
    <t>4X</t>
  </si>
  <si>
    <t>5X</t>
  </si>
  <si>
    <t>6X</t>
  </si>
  <si>
    <t>7X</t>
  </si>
  <si>
    <t>8X</t>
  </si>
  <si>
    <t>9X</t>
  </si>
  <si>
    <t>10X</t>
  </si>
  <si>
    <t>11X</t>
  </si>
  <si>
    <t>12X</t>
  </si>
  <si>
    <t>SIMULADOR PADRÃO</t>
  </si>
  <si>
    <t>Total</t>
  </si>
  <si>
    <t>TABELA A</t>
  </si>
  <si>
    <t>TABELA B</t>
  </si>
  <si>
    <t>TABELA C</t>
  </si>
  <si>
    <t>TABELA D</t>
  </si>
  <si>
    <t>PARCELAS</t>
  </si>
  <si>
    <t>Vendedor</t>
  </si>
  <si>
    <t>Diretor</t>
  </si>
  <si>
    <t>Gestor</t>
  </si>
  <si>
    <t>Supervisor</t>
  </si>
  <si>
    <t>Regional</t>
  </si>
  <si>
    <t>Receita Bruta</t>
  </si>
  <si>
    <t>TOTAL VENDAS</t>
  </si>
  <si>
    <t>Ger. Comercial</t>
  </si>
  <si>
    <t>R</t>
  </si>
  <si>
    <t>Meta Bônus</t>
  </si>
  <si>
    <t>Lucro Líq.</t>
  </si>
  <si>
    <t>SIMULADOR DE RECEITA - VENDA NAS MAQUINETAS</t>
  </si>
  <si>
    <t>Imposto 12%</t>
  </si>
  <si>
    <t>Tab A</t>
  </si>
  <si>
    <t>Tab B</t>
  </si>
  <si>
    <t>Tab C</t>
  </si>
  <si>
    <t>Tab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</si>
</sst>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000_-;\-* #,##0.00000_-;_-* &quot;-&quot;??_-;_-@_-"/>
    <numFmt numFmtId="165" formatCode="_-* #,##0.0000_-;\-* #,##0.0000_-;_-* &quot;-&quot;??_-;_-@_-"/>
    <numFmt numFmtId="166" formatCode="_-* #,##0.0000_-;\-* #,##0.0000_-;_-* &quot;-&quot;????_-;_-@_-"/>
    <numFmt numFmtId="167" formatCode="_-* #,##0.000000_-;\-* #,##0.000000_-;_-* &quot;-&quot;??_-;_-@_-"/>
    <numFmt numFmtId="168" formatCode="&quot;R$&quot;\ #,##0.00"/>
  </numFmts>
  <fonts count="2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Dashed">
        <color rgb="FFFF0000"/>
      </left>
      <right/>
      <top style="mediumDashed">
        <color rgb="FFFF0000"/>
      </top>
      <bottom/>
      <diagonal/>
    </border>
    <border>
      <left/>
      <right/>
      <top style="mediumDashed">
        <color rgb="FFFF0000"/>
      </top>
      <bottom/>
      <diagonal/>
    </border>
    <border>
      <left/>
      <right style="mediumDashed">
        <color rgb="FFFF0000"/>
      </right>
      <top style="mediumDashed">
        <color rgb="FFFF0000"/>
      </top>
      <bottom/>
      <diagonal/>
    </border>
    <border>
      <left style="mediumDashed">
        <color rgb="FFFF0000"/>
      </left>
      <right/>
      <top/>
      <bottom/>
      <diagonal/>
    </border>
    <border>
      <left/>
      <right style="mediumDashed">
        <color rgb="FFFF0000"/>
      </right>
      <top/>
      <bottom/>
      <diagonal/>
    </border>
    <border>
      <left style="mediumDashed">
        <color rgb="FFFF0000"/>
      </left>
      <right/>
      <top/>
      <bottom style="mediumDashed">
        <color rgb="FFFF0000"/>
      </bottom>
      <diagonal/>
    </border>
    <border>
      <left/>
      <right/>
      <top/>
      <bottom style="mediumDashed">
        <color rgb="FFFF0000"/>
      </bottom>
      <diagonal/>
    </border>
    <border>
      <left/>
      <right style="mediumDashed">
        <color rgb="FFFF0000"/>
      </right>
      <top/>
      <bottom style="mediumDashed">
        <color rgb="FFFF0000"/>
      </bottom>
      <diagonal/>
    </border>
    <border>
      <left style="mediumDashed">
        <color rgb="FFFF0000"/>
      </left>
      <right/>
      <top style="thin">
        <color indexed="64"/>
      </top>
      <bottom/>
      <diagonal/>
    </border>
    <border>
      <left style="mediumDashed">
        <color rgb="FFFF0000"/>
      </left>
      <right/>
      <top/>
      <bottom style="thin">
        <color indexed="64"/>
      </bottom>
      <diagonal/>
    </border>
    <border>
      <left style="mediumDashed">
        <color rgb="FFFF0000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theme="1" tint="0.34998626667073579"/>
      </left>
      <right style="thin">
        <color auto="1"/>
      </right>
      <top style="thin">
        <color theme="1" tint="0.34998626667073579"/>
      </top>
      <bottom style="thin">
        <color auto="1"/>
      </bottom>
      <diagonal/>
    </border>
    <border>
      <left style="thin">
        <color auto="1"/>
      </left>
      <right style="thin">
        <color theme="1" tint="0.34998626667073579"/>
      </right>
      <top style="thin">
        <color theme="1" tint="0.34998626667073579"/>
      </top>
      <bottom style="thin">
        <color auto="1"/>
      </bottom>
      <diagonal/>
    </border>
    <border>
      <left style="thin">
        <color theme="1" tint="0.34998626667073579"/>
      </left>
      <right style="thin">
        <color auto="1"/>
      </right>
      <top style="thin">
        <color auto="1"/>
      </top>
      <bottom style="thin">
        <color theme="1" tint="0.34998626667073579"/>
      </bottom>
      <diagonal/>
    </border>
    <border>
      <left style="thin">
        <color auto="1"/>
      </left>
      <right style="thin">
        <color theme="1" tint="0.34998626667073579"/>
      </right>
      <top style="thin">
        <color auto="1"/>
      </top>
      <bottom style="thin">
        <color theme="1" tint="0.34998626667073579"/>
      </bottom>
      <diagonal/>
    </border>
    <border>
      <left style="mediumDashed">
        <color rgb="FFFFC000"/>
      </left>
      <right/>
      <top style="mediumDashed">
        <color rgb="FFFFC000"/>
      </top>
      <bottom/>
      <diagonal/>
    </border>
    <border>
      <left/>
      <right/>
      <top style="mediumDashed">
        <color rgb="FFFFC000"/>
      </top>
      <bottom/>
      <diagonal/>
    </border>
    <border>
      <left/>
      <right style="mediumDashed">
        <color rgb="FFFFC000"/>
      </right>
      <top style="mediumDashed">
        <color rgb="FFFFC000"/>
      </top>
      <bottom/>
      <diagonal/>
    </border>
    <border>
      <left style="mediumDashed">
        <color rgb="FFFFC000"/>
      </left>
      <right/>
      <top/>
      <bottom/>
      <diagonal/>
    </border>
    <border>
      <left/>
      <right style="mediumDashed">
        <color rgb="FFFFC000"/>
      </right>
      <top/>
      <bottom/>
      <diagonal/>
    </border>
    <border>
      <left style="mediumDashed">
        <color rgb="FFFFC000"/>
      </left>
      <right/>
      <top/>
      <bottom style="mediumDashed">
        <color rgb="FFFFC000"/>
      </bottom>
      <diagonal/>
    </border>
    <border>
      <left/>
      <right/>
      <top/>
      <bottom style="mediumDashed">
        <color rgb="FFFFC000"/>
      </bottom>
      <diagonal/>
    </border>
    <border>
      <left/>
      <right style="mediumDashed">
        <color rgb="FFFFC000"/>
      </right>
      <top/>
      <bottom style="mediumDashed">
        <color rgb="FFFFC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44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11">
    <xf numFmtId="0" fontId="0" fillId="0" borderId="0" xfId="0"/>
    <xf numFmtId="0" fontId="0" fillId="0" borderId="0" xfId="0" applyProtection="1">
      <protection hidden="1"/>
    </xf>
    <xf numFmtId="164" fontId="4" fillId="0" borderId="1" xfId="1" applyNumberFormat="1" applyFont="1" applyBorder="1" applyProtection="1">
      <protection hidden="1"/>
    </xf>
    <xf numFmtId="10" fontId="6" fillId="0" borderId="1" xfId="2" applyNumberFormat="1" applyFont="1" applyBorder="1" applyProtection="1">
      <protection hidden="1"/>
    </xf>
    <xf numFmtId="43" fontId="0" fillId="0" borderId="1" xfId="1" applyFont="1" applyBorder="1" applyProtection="1">
      <protection hidden="1"/>
    </xf>
    <xf numFmtId="43" fontId="5" fillId="0" borderId="1" xfId="1" applyFont="1" applyBorder="1" applyProtection="1">
      <protection hidden="1"/>
    </xf>
    <xf numFmtId="164" fontId="4" fillId="2" borderId="1" xfId="1" applyNumberFormat="1" applyFont="1" applyFill="1" applyBorder="1" applyProtection="1">
      <protection hidden="1"/>
    </xf>
    <xf numFmtId="165" fontId="5" fillId="2" borderId="1" xfId="1" applyNumberFormat="1" applyFont="1" applyFill="1" applyBorder="1" applyProtection="1">
      <protection hidden="1"/>
    </xf>
    <xf numFmtId="10" fontId="6" fillId="2" borderId="1" xfId="2" applyNumberFormat="1" applyFont="1" applyFill="1" applyBorder="1" applyProtection="1">
      <protection hidden="1"/>
    </xf>
    <xf numFmtId="43" fontId="0" fillId="2" borderId="1" xfId="1" applyFont="1" applyFill="1" applyBorder="1" applyProtection="1">
      <protection hidden="1"/>
    </xf>
    <xf numFmtId="164" fontId="4" fillId="3" borderId="1" xfId="1" applyNumberFormat="1" applyFont="1" applyFill="1" applyBorder="1" applyProtection="1">
      <protection hidden="1"/>
    </xf>
    <xf numFmtId="165" fontId="5" fillId="3" borderId="1" xfId="1" applyNumberFormat="1" applyFont="1" applyFill="1" applyBorder="1" applyProtection="1">
      <protection hidden="1"/>
    </xf>
    <xf numFmtId="10" fontId="6" fillId="3" borderId="1" xfId="2" applyNumberFormat="1" applyFont="1" applyFill="1" applyBorder="1" applyProtection="1">
      <protection hidden="1"/>
    </xf>
    <xf numFmtId="43" fontId="0" fillId="3" borderId="1" xfId="1" applyFont="1" applyFill="1" applyBorder="1" applyProtection="1">
      <protection hidden="1"/>
    </xf>
    <xf numFmtId="164" fontId="4" fillId="4" borderId="1" xfId="1" applyNumberFormat="1" applyFont="1" applyFill="1" applyBorder="1" applyProtection="1">
      <protection hidden="1"/>
    </xf>
    <xf numFmtId="165" fontId="5" fillId="4" borderId="1" xfId="1" applyNumberFormat="1" applyFont="1" applyFill="1" applyBorder="1" applyProtection="1">
      <protection hidden="1"/>
    </xf>
    <xf numFmtId="10" fontId="6" fillId="4" borderId="1" xfId="2" applyNumberFormat="1" applyFont="1" applyFill="1" applyBorder="1" applyProtection="1">
      <protection hidden="1"/>
    </xf>
    <xf numFmtId="43" fontId="0" fillId="4" borderId="1" xfId="1" applyFont="1" applyFill="1" applyBorder="1" applyProtection="1">
      <protection hidden="1"/>
    </xf>
    <xf numFmtId="0" fontId="7" fillId="5" borderId="3" xfId="0" applyFont="1" applyFill="1" applyBorder="1" applyAlignment="1" applyProtection="1">
      <alignment horizontal="center"/>
      <protection hidden="1"/>
    </xf>
    <xf numFmtId="0" fontId="0" fillId="0" borderId="0" xfId="0" applyAlignment="1" applyProtection="1">
      <alignment vertical="center"/>
      <protection hidden="1"/>
    </xf>
    <xf numFmtId="10" fontId="11" fillId="7" borderId="5" xfId="2" applyNumberFormat="1" applyFont="1" applyFill="1" applyBorder="1" applyAlignment="1" applyProtection="1">
      <alignment vertical="center"/>
      <protection locked="0"/>
    </xf>
    <xf numFmtId="43" fontId="0" fillId="0" borderId="0" xfId="0" applyNumberFormat="1" applyProtection="1">
      <protection hidden="1"/>
    </xf>
    <xf numFmtId="0" fontId="0" fillId="3" borderId="0" xfId="0" applyFill="1" applyProtection="1">
      <protection hidden="1"/>
    </xf>
    <xf numFmtId="43" fontId="0" fillId="4" borderId="20" xfId="1" applyFont="1" applyFill="1" applyBorder="1" applyProtection="1">
      <protection hidden="1"/>
    </xf>
    <xf numFmtId="0" fontId="0" fillId="0" borderId="20" xfId="0" applyBorder="1" applyProtection="1">
      <protection hidden="1"/>
    </xf>
    <xf numFmtId="43" fontId="0" fillId="3" borderId="20" xfId="1" applyFont="1" applyFill="1" applyBorder="1" applyProtection="1">
      <protection hidden="1"/>
    </xf>
    <xf numFmtId="43" fontId="0" fillId="2" borderId="20" xfId="1" applyFont="1" applyFill="1" applyBorder="1" applyProtection="1">
      <protection hidden="1"/>
    </xf>
    <xf numFmtId="0" fontId="0" fillId="12" borderId="15" xfId="0" applyFill="1" applyBorder="1" applyProtection="1">
      <protection hidden="1"/>
    </xf>
    <xf numFmtId="0" fontId="0" fillId="12" borderId="16" xfId="0" applyFill="1" applyBorder="1" applyProtection="1">
      <protection hidden="1"/>
    </xf>
    <xf numFmtId="0" fontId="0" fillId="12" borderId="17" xfId="0" applyFill="1" applyBorder="1" applyProtection="1">
      <protection hidden="1"/>
    </xf>
    <xf numFmtId="0" fontId="0" fillId="12" borderId="12" xfId="0" applyFill="1" applyBorder="1" applyProtection="1">
      <protection hidden="1"/>
    </xf>
    <xf numFmtId="0" fontId="0" fillId="12" borderId="14" xfId="0" applyFill="1" applyBorder="1" applyProtection="1">
      <protection hidden="1"/>
    </xf>
    <xf numFmtId="0" fontId="0" fillId="12" borderId="14" xfId="0" applyFill="1" applyBorder="1" applyAlignment="1" applyProtection="1">
      <alignment vertical="center"/>
      <protection hidden="1"/>
    </xf>
    <xf numFmtId="43" fontId="0" fillId="12" borderId="14" xfId="0" applyNumberFormat="1" applyFill="1" applyBorder="1" applyProtection="1">
      <protection hidden="1"/>
    </xf>
    <xf numFmtId="0" fontId="0" fillId="12" borderId="13" xfId="0" applyFill="1" applyBorder="1" applyProtection="1">
      <protection hidden="1"/>
    </xf>
    <xf numFmtId="0" fontId="0" fillId="12" borderId="0" xfId="0" applyFill="1" applyProtection="1">
      <protection hidden="1"/>
    </xf>
    <xf numFmtId="0" fontId="7" fillId="12" borderId="0" xfId="0" applyFont="1" applyFill="1" applyAlignment="1" applyProtection="1">
      <alignment horizontal="center" vertical="center"/>
      <protection hidden="1"/>
    </xf>
    <xf numFmtId="0" fontId="7" fillId="12" borderId="0" xfId="0" applyFont="1" applyFill="1" applyAlignment="1" applyProtection="1">
      <alignment horizontal="center"/>
      <protection hidden="1"/>
    </xf>
    <xf numFmtId="164" fontId="4" fillId="12" borderId="0" xfId="1" applyNumberFormat="1" applyFont="1" applyFill="1" applyBorder="1" applyProtection="1">
      <protection hidden="1"/>
    </xf>
    <xf numFmtId="0" fontId="9" fillId="12" borderId="11" xfId="0" applyFont="1" applyFill="1" applyBorder="1" applyProtection="1">
      <protection hidden="1"/>
    </xf>
    <xf numFmtId="43" fontId="8" fillId="12" borderId="0" xfId="1" applyFont="1" applyFill="1" applyBorder="1" applyProtection="1">
      <protection locked="0"/>
    </xf>
    <xf numFmtId="0" fontId="9" fillId="12" borderId="0" xfId="0" applyFont="1" applyFill="1" applyProtection="1">
      <protection hidden="1"/>
    </xf>
    <xf numFmtId="0" fontId="10" fillId="12" borderId="10" xfId="0" applyFont="1" applyFill="1" applyBorder="1" applyAlignment="1" applyProtection="1">
      <alignment horizontal="center" vertical="center"/>
      <protection hidden="1"/>
    </xf>
    <xf numFmtId="0" fontId="10" fillId="0" borderId="13" xfId="0" applyFont="1" applyBorder="1" applyAlignment="1" applyProtection="1">
      <alignment horizontal="center" vertical="center"/>
      <protection hidden="1"/>
    </xf>
    <xf numFmtId="43" fontId="11" fillId="7" borderId="13" xfId="1" applyFont="1" applyFill="1" applyBorder="1" applyAlignment="1" applyProtection="1">
      <alignment vertical="center"/>
      <protection locked="0"/>
    </xf>
    <xf numFmtId="0" fontId="0" fillId="3" borderId="26" xfId="0" applyFill="1" applyBorder="1" applyProtection="1">
      <protection hidden="1"/>
    </xf>
    <xf numFmtId="0" fontId="0" fillId="3" borderId="27" xfId="0" applyFill="1" applyBorder="1" applyProtection="1">
      <protection hidden="1"/>
    </xf>
    <xf numFmtId="0" fontId="0" fillId="3" borderId="28" xfId="0" applyFill="1" applyBorder="1" applyProtection="1">
      <protection hidden="1"/>
    </xf>
    <xf numFmtId="0" fontId="0" fillId="3" borderId="29" xfId="0" applyFill="1" applyBorder="1" applyProtection="1">
      <protection hidden="1"/>
    </xf>
    <xf numFmtId="0" fontId="0" fillId="3" borderId="30" xfId="0" applyFill="1" applyBorder="1" applyProtection="1">
      <protection hidden="1"/>
    </xf>
    <xf numFmtId="0" fontId="0" fillId="3" borderId="29" xfId="0" applyFill="1" applyBorder="1" applyAlignment="1" applyProtection="1">
      <alignment vertical="center"/>
      <protection hidden="1"/>
    </xf>
    <xf numFmtId="0" fontId="0" fillId="3" borderId="30" xfId="0" applyFill="1" applyBorder="1" applyAlignment="1" applyProtection="1">
      <alignment vertical="center"/>
      <protection hidden="1"/>
    </xf>
    <xf numFmtId="43" fontId="0" fillId="3" borderId="30" xfId="0" applyNumberFormat="1" applyFill="1" applyBorder="1" applyProtection="1">
      <protection hidden="1"/>
    </xf>
    <xf numFmtId="43" fontId="0" fillId="3" borderId="29" xfId="0" applyNumberFormat="1" applyFill="1" applyBorder="1" applyProtection="1">
      <protection hidden="1"/>
    </xf>
    <xf numFmtId="0" fontId="0" fillId="3" borderId="31" xfId="0" applyFill="1" applyBorder="1" applyProtection="1">
      <protection hidden="1"/>
    </xf>
    <xf numFmtId="0" fontId="0" fillId="3" borderId="32" xfId="0" applyFill="1" applyBorder="1" applyProtection="1">
      <protection hidden="1"/>
    </xf>
    <xf numFmtId="0" fontId="0" fillId="3" borderId="33" xfId="0" applyFill="1" applyBorder="1" applyProtection="1">
      <protection hidden="1"/>
    </xf>
    <xf numFmtId="43" fontId="0" fillId="2" borderId="13" xfId="1" applyFont="1" applyFill="1" applyBorder="1" applyProtection="1">
      <protection hidden="1"/>
    </xf>
    <xf numFmtId="43" fontId="0" fillId="2" borderId="0" xfId="1" applyFont="1" applyFill="1" applyBorder="1" applyProtection="1">
      <protection hidden="1"/>
    </xf>
    <xf numFmtId="10" fontId="6" fillId="2" borderId="0" xfId="2" applyNumberFormat="1" applyFont="1" applyFill="1" applyBorder="1" applyProtection="1">
      <protection hidden="1"/>
    </xf>
    <xf numFmtId="165" fontId="5" fillId="2" borderId="0" xfId="1" applyNumberFormat="1" applyFont="1" applyFill="1" applyBorder="1" applyProtection="1">
      <protection hidden="1"/>
    </xf>
    <xf numFmtId="164" fontId="4" fillId="2" borderId="0" xfId="1" applyNumberFormat="1" applyFont="1" applyFill="1" applyBorder="1" applyProtection="1">
      <protection hidden="1"/>
    </xf>
    <xf numFmtId="43" fontId="0" fillId="13" borderId="1" xfId="1" applyFont="1" applyFill="1" applyBorder="1" applyProtection="1">
      <protection hidden="1"/>
    </xf>
    <xf numFmtId="10" fontId="6" fillId="13" borderId="1" xfId="2" applyNumberFormat="1" applyFont="1" applyFill="1" applyBorder="1" applyProtection="1">
      <protection hidden="1"/>
    </xf>
    <xf numFmtId="165" fontId="5" fillId="13" borderId="1" xfId="1" applyNumberFormat="1" applyFont="1" applyFill="1" applyBorder="1" applyProtection="1">
      <protection hidden="1"/>
    </xf>
    <xf numFmtId="164" fontId="4" fillId="13" borderId="1" xfId="1" applyNumberFormat="1" applyFont="1" applyFill="1" applyBorder="1" applyProtection="1">
      <protection hidden="1"/>
    </xf>
    <xf numFmtId="43" fontId="0" fillId="14" borderId="1" xfId="1" applyFont="1" applyFill="1" applyBorder="1" applyProtection="1">
      <protection hidden="1"/>
    </xf>
    <xf numFmtId="10" fontId="6" fillId="14" borderId="1" xfId="1" applyNumberFormat="1" applyFont="1" applyFill="1" applyBorder="1" applyProtection="1">
      <protection hidden="1"/>
    </xf>
    <xf numFmtId="165" fontId="5" fillId="14" borderId="1" xfId="1" applyNumberFormat="1" applyFont="1" applyFill="1" applyBorder="1" applyProtection="1">
      <protection hidden="1"/>
    </xf>
    <xf numFmtId="164" fontId="4" fillId="14" borderId="1" xfId="1" applyNumberFormat="1" applyFont="1" applyFill="1" applyBorder="1" applyProtection="1">
      <protection hidden="1"/>
    </xf>
    <xf numFmtId="164" fontId="4" fillId="12" borderId="0" xfId="1" applyNumberFormat="1" applyFont="1" applyFill="1" applyProtection="1">
      <protection hidden="1"/>
    </xf>
    <xf numFmtId="164" fontId="13" fillId="12" borderId="0" xfId="0" applyNumberFormat="1" applyFont="1" applyFill="1" applyProtection="1">
      <protection hidden="1"/>
    </xf>
    <xf numFmtId="0" fontId="7" fillId="5" borderId="1" xfId="0" applyFont="1" applyFill="1" applyBorder="1" applyAlignment="1" applyProtection="1">
      <alignment horizontal="center"/>
      <protection hidden="1"/>
    </xf>
    <xf numFmtId="43" fontId="0" fillId="2" borderId="4" xfId="1" applyFont="1" applyFill="1" applyBorder="1" applyProtection="1">
      <protection hidden="1"/>
    </xf>
    <xf numFmtId="43" fontId="0" fillId="2" borderId="7" xfId="1" applyFont="1" applyFill="1" applyBorder="1" applyProtection="1">
      <protection hidden="1"/>
    </xf>
    <xf numFmtId="165" fontId="5" fillId="2" borderId="7" xfId="1" applyNumberFormat="1" applyFont="1" applyFill="1" applyBorder="1" applyProtection="1">
      <protection hidden="1"/>
    </xf>
    <xf numFmtId="164" fontId="4" fillId="2" borderId="8" xfId="1" applyNumberFormat="1" applyFont="1" applyFill="1" applyBorder="1" applyProtection="1">
      <protection hidden="1"/>
    </xf>
    <xf numFmtId="43" fontId="0" fillId="15" borderId="1" xfId="1" applyFont="1" applyFill="1" applyBorder="1" applyProtection="1">
      <protection hidden="1"/>
    </xf>
    <xf numFmtId="43" fontId="0" fillId="3" borderId="0" xfId="1" applyFont="1" applyFill="1" applyBorder="1" applyProtection="1">
      <protection hidden="1"/>
    </xf>
    <xf numFmtId="0" fontId="0" fillId="2" borderId="0" xfId="0" applyFill="1" applyProtection="1">
      <protection hidden="1"/>
    </xf>
    <xf numFmtId="164" fontId="13" fillId="2" borderId="0" xfId="0" applyNumberFormat="1" applyFont="1" applyFill="1" applyProtection="1">
      <protection hidden="1"/>
    </xf>
    <xf numFmtId="0" fontId="0" fillId="2" borderId="9" xfId="0" applyFill="1" applyBorder="1" applyProtection="1">
      <protection hidden="1"/>
    </xf>
    <xf numFmtId="164" fontId="13" fillId="2" borderId="21" xfId="0" applyNumberFormat="1" applyFont="1" applyFill="1" applyBorder="1" applyProtection="1">
      <protection hidden="1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Protection="1">
      <protection hidden="1"/>
    </xf>
    <xf numFmtId="43" fontId="0" fillId="4" borderId="2" xfId="1" applyFont="1" applyFill="1" applyBorder="1" applyProtection="1">
      <protection hidden="1"/>
    </xf>
    <xf numFmtId="0" fontId="0" fillId="0" borderId="2" xfId="0" applyBorder="1" applyProtection="1">
      <protection hidden="1"/>
    </xf>
    <xf numFmtId="43" fontId="0" fillId="3" borderId="2" xfId="1" applyFont="1" applyFill="1" applyBorder="1" applyProtection="1">
      <protection hidden="1"/>
    </xf>
    <xf numFmtId="43" fontId="0" fillId="2" borderId="2" xfId="1" applyFont="1" applyFill="1" applyBorder="1" applyProtection="1">
      <protection hidden="1"/>
    </xf>
    <xf numFmtId="43" fontId="0" fillId="15" borderId="2" xfId="1" applyFont="1" applyFill="1" applyBorder="1" applyProtection="1">
      <protection hidden="1"/>
    </xf>
    <xf numFmtId="43" fontId="0" fillId="14" borderId="2" xfId="1" applyFont="1" applyFill="1" applyBorder="1" applyProtection="1">
      <protection hidden="1"/>
    </xf>
    <xf numFmtId="0" fontId="0" fillId="0" borderId="0" xfId="0" applyAlignment="1">
      <alignment vertical="center"/>
    </xf>
    <xf numFmtId="43" fontId="0" fillId="0" borderId="0" xfId="1" applyFont="1"/>
    <xf numFmtId="0" fontId="9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65" fontId="0" fillId="17" borderId="1" xfId="1" applyNumberFormat="1" applyFont="1" applyFill="1" applyBorder="1"/>
    <xf numFmtId="9" fontId="7" fillId="6" borderId="1" xfId="0" applyNumberFormat="1" applyFont="1" applyFill="1" applyBorder="1" applyAlignment="1">
      <alignment horizontal="center"/>
    </xf>
    <xf numFmtId="43" fontId="0" fillId="0" borderId="9" xfId="1" applyFont="1" applyFill="1" applyBorder="1"/>
    <xf numFmtId="2" fontId="0" fillId="0" borderId="0" xfId="0" applyNumberFormat="1"/>
    <xf numFmtId="166" fontId="0" fillId="0" borderId="0" xfId="0" applyNumberFormat="1" applyAlignment="1" applyProtection="1">
      <alignment vertical="center"/>
      <protection hidden="1"/>
    </xf>
    <xf numFmtId="166" fontId="0" fillId="0" borderId="0" xfId="0" applyNumberFormat="1" applyProtection="1">
      <protection hidden="1"/>
    </xf>
    <xf numFmtId="167" fontId="5" fillId="4" borderId="1" xfId="1" applyNumberFormat="1" applyFont="1" applyFill="1" applyBorder="1" applyProtection="1">
      <protection hidden="1"/>
    </xf>
    <xf numFmtId="167" fontId="5" fillId="0" borderId="1" xfId="1" applyNumberFormat="1" applyFont="1" applyBorder="1" applyProtection="1">
      <protection hidden="1"/>
    </xf>
    <xf numFmtId="167" fontId="5" fillId="3" borderId="1" xfId="1" applyNumberFormat="1" applyFont="1" applyFill="1" applyBorder="1" applyProtection="1">
      <protection hidden="1"/>
    </xf>
    <xf numFmtId="167" fontId="5" fillId="2" borderId="1" xfId="1" applyNumberFormat="1" applyFont="1" applyFill="1" applyBorder="1" applyProtection="1">
      <protection hidden="1"/>
    </xf>
    <xf numFmtId="43" fontId="0" fillId="3" borderId="13" xfId="1" applyFont="1" applyFill="1" applyBorder="1" applyProtection="1">
      <protection hidden="1"/>
    </xf>
    <xf numFmtId="10" fontId="6" fillId="3" borderId="0" xfId="2" applyNumberFormat="1" applyFont="1" applyFill="1" applyBorder="1" applyProtection="1">
      <protection hidden="1"/>
    </xf>
    <xf numFmtId="167" fontId="5" fillId="3" borderId="0" xfId="1" applyNumberFormat="1" applyFont="1" applyFill="1" applyBorder="1" applyProtection="1">
      <protection hidden="1"/>
    </xf>
    <xf numFmtId="164" fontId="4" fillId="3" borderId="0" xfId="1" applyNumberFormat="1" applyFont="1" applyFill="1" applyBorder="1" applyProtection="1">
      <protection hidden="1"/>
    </xf>
    <xf numFmtId="43" fontId="0" fillId="3" borderId="9" xfId="1" applyFont="1" applyFill="1" applyBorder="1" applyProtection="1">
      <protection hidden="1"/>
    </xf>
    <xf numFmtId="165" fontId="5" fillId="3" borderId="0" xfId="1" applyNumberFormat="1" applyFont="1" applyFill="1" applyBorder="1" applyProtection="1">
      <protection hidden="1"/>
    </xf>
    <xf numFmtId="164" fontId="4" fillId="3" borderId="21" xfId="1" applyNumberFormat="1" applyFont="1" applyFill="1" applyBorder="1" applyProtection="1">
      <protection hidden="1"/>
    </xf>
    <xf numFmtId="0" fontId="0" fillId="16" borderId="18" xfId="0" applyFill="1" applyBorder="1" applyAlignment="1" applyProtection="1">
      <alignment horizontal="center" vertical="center"/>
      <protection hidden="1"/>
    </xf>
    <xf numFmtId="0" fontId="0" fillId="16" borderId="19" xfId="0" applyFill="1" applyBorder="1" applyAlignment="1" applyProtection="1">
      <alignment vertical="center"/>
      <protection hidden="1"/>
    </xf>
    <xf numFmtId="0" fontId="2" fillId="0" borderId="0" xfId="5"/>
    <xf numFmtId="0" fontId="2" fillId="0" borderId="3" xfId="5" applyBorder="1" applyAlignment="1">
      <alignment horizontal="center"/>
    </xf>
    <xf numFmtId="0" fontId="2" fillId="0" borderId="1" xfId="5" applyBorder="1" applyAlignment="1">
      <alignment horizontal="center"/>
    </xf>
    <xf numFmtId="0" fontId="22" fillId="0" borderId="4" xfId="5" applyFont="1" applyBorder="1" applyAlignment="1">
      <alignment horizontal="center" vertical="center"/>
    </xf>
    <xf numFmtId="44" fontId="2" fillId="0" borderId="1" xfId="4" applyFont="1" applyBorder="1" applyAlignment="1">
      <alignment horizontal="center"/>
    </xf>
    <xf numFmtId="44" fontId="2" fillId="0" borderId="0" xfId="4" applyFont="1"/>
    <xf numFmtId="168" fontId="2" fillId="0" borderId="1" xfId="4" applyNumberFormat="1" applyFont="1" applyBorder="1" applyAlignment="1">
      <alignment horizontal="center"/>
    </xf>
    <xf numFmtId="168" fontId="2" fillId="0" borderId="0" xfId="4" applyNumberFormat="1" applyFont="1" applyBorder="1" applyAlignment="1">
      <alignment horizontal="center"/>
    </xf>
    <xf numFmtId="0" fontId="19" fillId="0" borderId="9" xfId="5" applyFont="1" applyBorder="1" applyAlignment="1">
      <alignment horizontal="center" vertical="center"/>
    </xf>
    <xf numFmtId="44" fontId="19" fillId="0" borderId="36" xfId="4" applyFont="1" applyFill="1" applyBorder="1" applyAlignment="1">
      <alignment horizontal="center" vertical="center"/>
    </xf>
    <xf numFmtId="44" fontId="22" fillId="18" borderId="39" xfId="4" applyFont="1" applyFill="1" applyBorder="1" applyAlignment="1">
      <alignment vertical="center"/>
    </xf>
    <xf numFmtId="168" fontId="19" fillId="0" borderId="0" xfId="4" applyNumberFormat="1" applyFont="1" applyFill="1" applyBorder="1" applyAlignment="1">
      <alignment horizontal="center" vertical="center"/>
    </xf>
    <xf numFmtId="168" fontId="2" fillId="0" borderId="0" xfId="4" applyNumberFormat="1" applyFont="1"/>
    <xf numFmtId="0" fontId="2" fillId="19" borderId="2" xfId="5" applyFill="1" applyBorder="1" applyAlignment="1">
      <alignment horizontal="center"/>
    </xf>
    <xf numFmtId="0" fontId="18" fillId="19" borderId="2" xfId="5" applyFont="1" applyFill="1" applyBorder="1" applyAlignment="1">
      <alignment horizontal="center"/>
    </xf>
    <xf numFmtId="168" fontId="22" fillId="0" borderId="0" xfId="4" applyNumberFormat="1" applyFont="1" applyFill="1" applyBorder="1" applyAlignment="1">
      <alignment horizontal="center" vertical="center"/>
    </xf>
    <xf numFmtId="0" fontId="22" fillId="0" borderId="0" xfId="5" applyFont="1" applyAlignment="1">
      <alignment horizontal="center" vertical="center"/>
    </xf>
    <xf numFmtId="168" fontId="2" fillId="0" borderId="3" xfId="4" applyNumberFormat="1" applyFont="1" applyBorder="1" applyAlignment="1">
      <alignment horizontal="center"/>
    </xf>
    <xf numFmtId="44" fontId="2" fillId="0" borderId="3" xfId="4" applyFont="1" applyBorder="1" applyAlignment="1">
      <alignment horizontal="center"/>
    </xf>
    <xf numFmtId="168" fontId="2" fillId="0" borderId="40" xfId="4" applyNumberFormat="1" applyFont="1" applyFill="1" applyBorder="1" applyAlignment="1">
      <alignment horizontal="center"/>
    </xf>
    <xf numFmtId="168" fontId="2" fillId="0" borderId="41" xfId="4" applyNumberFormat="1" applyFont="1" applyBorder="1" applyAlignment="1">
      <alignment horizontal="center"/>
    </xf>
    <xf numFmtId="168" fontId="2" fillId="0" borderId="40" xfId="4" applyNumberFormat="1" applyFont="1" applyBorder="1" applyAlignment="1">
      <alignment horizontal="center"/>
    </xf>
    <xf numFmtId="168" fontId="19" fillId="0" borderId="36" xfId="4" applyNumberFormat="1" applyFont="1" applyFill="1" applyBorder="1" applyAlignment="1">
      <alignment horizontal="center" vertical="center"/>
    </xf>
    <xf numFmtId="44" fontId="22" fillId="0" borderId="0" xfId="4" applyFont="1" applyFill="1" applyBorder="1" applyAlignment="1">
      <alignment horizontal="center" vertical="center"/>
    </xf>
    <xf numFmtId="44" fontId="20" fillId="0" borderId="0" xfId="4" applyFont="1" applyFill="1" applyBorder="1" applyAlignment="1">
      <alignment horizontal="center" vertical="center"/>
    </xf>
    <xf numFmtId="168" fontId="20" fillId="0" borderId="0" xfId="4" applyNumberFormat="1" applyFont="1" applyFill="1" applyBorder="1" applyAlignment="1">
      <alignment horizontal="center" vertical="center"/>
    </xf>
    <xf numFmtId="168" fontId="18" fillId="3" borderId="42" xfId="4" applyNumberFormat="1" applyFont="1" applyFill="1" applyBorder="1" applyAlignment="1">
      <alignment horizontal="center"/>
    </xf>
    <xf numFmtId="168" fontId="18" fillId="19" borderId="45" xfId="4" applyNumberFormat="1" applyFont="1" applyFill="1" applyBorder="1" applyAlignment="1">
      <alignment horizontal="center"/>
    </xf>
    <xf numFmtId="44" fontId="18" fillId="19" borderId="44" xfId="4" applyFont="1" applyFill="1" applyBorder="1" applyAlignment="1">
      <alignment horizontal="center"/>
    </xf>
    <xf numFmtId="44" fontId="22" fillId="8" borderId="46" xfId="4" applyFont="1" applyFill="1" applyBorder="1" applyAlignment="1">
      <alignment horizontal="center" vertical="center"/>
    </xf>
    <xf numFmtId="168" fontId="18" fillId="3" borderId="48" xfId="4" applyNumberFormat="1" applyFont="1" applyFill="1" applyBorder="1" applyAlignment="1">
      <alignment horizontal="center"/>
    </xf>
    <xf numFmtId="0" fontId="22" fillId="0" borderId="9" xfId="5" applyFont="1" applyBorder="1" applyAlignment="1">
      <alignment horizontal="center" vertical="center"/>
    </xf>
    <xf numFmtId="0" fontId="19" fillId="20" borderId="49" xfId="5" applyFont="1" applyFill="1" applyBorder="1" applyAlignment="1">
      <alignment horizontal="center" vertical="center"/>
    </xf>
    <xf numFmtId="44" fontId="22" fillId="8" borderId="35" xfId="4" applyFont="1" applyFill="1" applyBorder="1" applyAlignment="1">
      <alignment horizontal="center" vertical="center"/>
    </xf>
    <xf numFmtId="9" fontId="18" fillId="19" borderId="50" xfId="2" applyFont="1" applyFill="1" applyBorder="1" applyAlignment="1">
      <alignment horizontal="center"/>
    </xf>
    <xf numFmtId="168" fontId="18" fillId="0" borderId="40" xfId="4" applyNumberFormat="1" applyFont="1" applyFill="1" applyBorder="1" applyAlignment="1">
      <alignment horizontal="center"/>
    </xf>
    <xf numFmtId="168" fontId="18" fillId="0" borderId="51" xfId="4" applyNumberFormat="1" applyFont="1" applyBorder="1" applyAlignment="1">
      <alignment horizontal="center"/>
    </xf>
    <xf numFmtId="0" fontId="18" fillId="0" borderId="0" xfId="5" applyFont="1"/>
    <xf numFmtId="168" fontId="21" fillId="3" borderId="39" xfId="4" applyNumberFormat="1" applyFont="1" applyFill="1" applyBorder="1" applyAlignment="1">
      <alignment horizontal="center" vertical="center"/>
    </xf>
    <xf numFmtId="168" fontId="18" fillId="3" borderId="53" xfId="4" applyNumberFormat="1" applyFont="1" applyFill="1" applyBorder="1" applyAlignment="1">
      <alignment horizontal="center"/>
    </xf>
    <xf numFmtId="168" fontId="21" fillId="0" borderId="0" xfId="4" applyNumberFormat="1" applyFont="1" applyFill="1" applyBorder="1" applyAlignment="1">
      <alignment horizontal="center" vertical="center"/>
    </xf>
    <xf numFmtId="168" fontId="1" fillId="0" borderId="41" xfId="4" applyNumberFormat="1" applyFont="1" applyBorder="1" applyAlignment="1">
      <alignment horizontal="center"/>
    </xf>
    <xf numFmtId="168" fontId="1" fillId="0" borderId="40" xfId="4" applyNumberFormat="1" applyFont="1" applyBorder="1" applyAlignment="1">
      <alignment horizontal="center"/>
    </xf>
    <xf numFmtId="0" fontId="18" fillId="3" borderId="52" xfId="5" applyFont="1" applyFill="1" applyBorder="1" applyAlignment="1">
      <alignment horizontal="center"/>
    </xf>
    <xf numFmtId="168" fontId="1" fillId="22" borderId="41" xfId="4" applyNumberFormat="1" applyFont="1" applyFill="1" applyBorder="1" applyAlignment="1">
      <alignment horizontal="center"/>
    </xf>
    <xf numFmtId="9" fontId="18" fillId="7" borderId="50" xfId="2" applyFont="1" applyFill="1" applyBorder="1" applyAlignment="1">
      <alignment horizontal="center"/>
    </xf>
    <xf numFmtId="168" fontId="18" fillId="7" borderId="40" xfId="4" applyNumberFormat="1" applyFont="1" applyFill="1" applyBorder="1" applyAlignment="1">
      <alignment horizontal="center"/>
    </xf>
    <xf numFmtId="168" fontId="2" fillId="7" borderId="41" xfId="4" applyNumberFormat="1" applyFont="1" applyFill="1" applyBorder="1" applyAlignment="1">
      <alignment horizontal="center"/>
    </xf>
    <xf numFmtId="168" fontId="1" fillId="7" borderId="41" xfId="4" applyNumberFormat="1" applyFont="1" applyFill="1" applyBorder="1" applyAlignment="1">
      <alignment horizontal="center"/>
    </xf>
    <xf numFmtId="168" fontId="2" fillId="7" borderId="40" xfId="4" applyNumberFormat="1" applyFont="1" applyFill="1" applyBorder="1" applyAlignment="1">
      <alignment horizontal="center"/>
    </xf>
    <xf numFmtId="168" fontId="1" fillId="7" borderId="40" xfId="4" applyNumberFormat="1" applyFont="1" applyFill="1" applyBorder="1" applyAlignment="1">
      <alignment horizontal="center"/>
    </xf>
    <xf numFmtId="168" fontId="18" fillId="7" borderId="51" xfId="4" applyNumberFormat="1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 vertical="center"/>
    </xf>
    <xf numFmtId="0" fontId="21" fillId="3" borderId="38" xfId="5" applyFont="1" applyFill="1" applyBorder="1" applyAlignment="1">
      <alignment horizontal="center" vertical="center"/>
    </xf>
    <xf numFmtId="0" fontId="23" fillId="21" borderId="9" xfId="5" applyFont="1" applyFill="1" applyBorder="1" applyAlignment="1">
      <alignment horizontal="center" vertical="center"/>
    </xf>
    <xf numFmtId="0" fontId="23" fillId="21" borderId="0" xfId="5" applyFont="1" applyFill="1" applyAlignment="1">
      <alignment horizontal="center" vertical="center"/>
    </xf>
    <xf numFmtId="0" fontId="19" fillId="21" borderId="2" xfId="5" applyFont="1" applyFill="1" applyBorder="1" applyAlignment="1">
      <alignment horizontal="center" vertical="center"/>
    </xf>
    <xf numFmtId="0" fontId="19" fillId="21" borderId="6" xfId="5" applyFont="1" applyFill="1" applyBorder="1" applyAlignment="1">
      <alignment horizontal="center" vertical="center"/>
    </xf>
    <xf numFmtId="44" fontId="22" fillId="8" borderId="46" xfId="4" applyFont="1" applyFill="1" applyBorder="1" applyAlignment="1">
      <alignment horizontal="center" vertical="center"/>
    </xf>
    <xf numFmtId="44" fontId="22" fillId="8" borderId="47" xfId="4" applyFont="1" applyFill="1" applyBorder="1" applyAlignment="1">
      <alignment horizontal="center" vertical="center"/>
    </xf>
    <xf numFmtId="44" fontId="22" fillId="7" borderId="46" xfId="4" applyFont="1" applyFill="1" applyBorder="1" applyAlignment="1">
      <alignment horizontal="center" vertical="center"/>
    </xf>
    <xf numFmtId="44" fontId="22" fillId="7" borderId="47" xfId="4" applyFont="1" applyFill="1" applyBorder="1" applyAlignment="1">
      <alignment horizontal="center" vertical="center"/>
    </xf>
    <xf numFmtId="0" fontId="22" fillId="18" borderId="37" xfId="5" applyFont="1" applyFill="1" applyBorder="1" applyAlignment="1">
      <alignment horizontal="center" vertical="center"/>
    </xf>
    <xf numFmtId="0" fontId="22" fillId="18" borderId="38" xfId="5" applyFont="1" applyFill="1" applyBorder="1" applyAlignment="1">
      <alignment horizontal="center" vertical="center"/>
    </xf>
    <xf numFmtId="0" fontId="22" fillId="19" borderId="43" xfId="5" applyFont="1" applyFill="1" applyBorder="1" applyAlignment="1">
      <alignment horizontal="center" vertical="center"/>
    </xf>
    <xf numFmtId="0" fontId="19" fillId="19" borderId="44" xfId="5" applyFont="1" applyFill="1" applyBorder="1" applyAlignment="1">
      <alignment horizontal="center" vertical="center"/>
    </xf>
    <xf numFmtId="0" fontId="10" fillId="0" borderId="9" xfId="0" applyFont="1" applyBorder="1" applyAlignment="1" applyProtection="1">
      <alignment horizontal="left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10" fillId="0" borderId="21" xfId="0" applyFont="1" applyBorder="1" applyAlignment="1" applyProtection="1">
      <alignment horizontal="left" vertical="center"/>
      <protection hidden="1"/>
    </xf>
    <xf numFmtId="0" fontId="10" fillId="0" borderId="9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21" xfId="0" applyFont="1" applyBorder="1" applyAlignment="1" applyProtection="1">
      <alignment horizontal="center" vertical="center"/>
      <protection hidden="1"/>
    </xf>
    <xf numFmtId="0" fontId="10" fillId="0" borderId="22" xfId="0" applyFont="1" applyBorder="1" applyAlignment="1" applyProtection="1">
      <alignment horizontal="center" vertical="center"/>
      <protection hidden="1"/>
    </xf>
    <xf numFmtId="0" fontId="10" fillId="0" borderId="23" xfId="0" applyFont="1" applyBorder="1" applyAlignment="1" applyProtection="1">
      <alignment horizontal="center" vertical="center"/>
      <protection hidden="1"/>
    </xf>
    <xf numFmtId="0" fontId="15" fillId="12" borderId="0" xfId="0" applyFont="1" applyFill="1" applyAlignment="1" applyProtection="1">
      <alignment horizontal="center" vertical="center"/>
      <protection hidden="1"/>
    </xf>
    <xf numFmtId="0" fontId="15" fillId="11" borderId="0" xfId="0" applyFont="1" applyFill="1" applyAlignment="1" applyProtection="1">
      <alignment horizontal="center" vertical="center"/>
      <protection hidden="1"/>
    </xf>
    <xf numFmtId="0" fontId="10" fillId="12" borderId="11" xfId="0" applyFont="1" applyFill="1" applyBorder="1" applyAlignment="1" applyProtection="1">
      <alignment horizontal="center" vertical="center"/>
      <protection hidden="1"/>
    </xf>
    <xf numFmtId="0" fontId="10" fillId="3" borderId="27" xfId="0" applyFont="1" applyFill="1" applyBorder="1" applyAlignment="1" applyProtection="1">
      <alignment horizontal="center" vertical="center"/>
      <protection hidden="1"/>
    </xf>
    <xf numFmtId="0" fontId="7" fillId="6" borderId="1" xfId="0" applyFont="1" applyFill="1" applyBorder="1" applyAlignment="1" applyProtection="1">
      <alignment horizontal="center" vertical="center" wrapText="1"/>
      <protection hidden="1"/>
    </xf>
    <xf numFmtId="0" fontId="7" fillId="6" borderId="1" xfId="0" applyFont="1" applyFill="1" applyBorder="1" applyAlignment="1" applyProtection="1">
      <alignment horizontal="center" vertical="center"/>
      <protection hidden="1"/>
    </xf>
    <xf numFmtId="43" fontId="12" fillId="6" borderId="4" xfId="1" applyFont="1" applyFill="1" applyBorder="1" applyAlignment="1" applyProtection="1">
      <alignment vertical="center"/>
      <protection hidden="1"/>
    </xf>
    <xf numFmtId="43" fontId="12" fillId="6" borderId="7" xfId="1" applyFont="1" applyFill="1" applyBorder="1" applyAlignment="1" applyProtection="1">
      <alignment vertical="center"/>
      <protection hidden="1"/>
    </xf>
    <xf numFmtId="43" fontId="12" fillId="6" borderId="8" xfId="1" applyFont="1" applyFill="1" applyBorder="1" applyAlignment="1" applyProtection="1">
      <alignment vertical="center"/>
      <protection hidden="1"/>
    </xf>
    <xf numFmtId="43" fontId="12" fillId="8" borderId="4" xfId="1" applyFont="1" applyFill="1" applyBorder="1" applyAlignment="1" applyProtection="1">
      <alignment vertical="center"/>
      <protection hidden="1"/>
    </xf>
    <xf numFmtId="43" fontId="12" fillId="8" borderId="7" xfId="1" applyFont="1" applyFill="1" applyBorder="1" applyAlignment="1" applyProtection="1">
      <alignment vertical="center"/>
      <protection hidden="1"/>
    </xf>
    <xf numFmtId="43" fontId="12" fillId="8" borderId="8" xfId="1" applyFont="1" applyFill="1" applyBorder="1" applyAlignment="1" applyProtection="1">
      <alignment vertical="center"/>
      <protection hidden="1"/>
    </xf>
    <xf numFmtId="43" fontId="11" fillId="5" borderId="24" xfId="1" applyFont="1" applyFill="1" applyBorder="1" applyAlignment="1" applyProtection="1">
      <alignment horizontal="center" vertical="center"/>
      <protection hidden="1"/>
    </xf>
    <xf numFmtId="43" fontId="11" fillId="5" borderId="25" xfId="1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9" borderId="2" xfId="0" applyFont="1" applyFill="1" applyBorder="1" applyAlignment="1" applyProtection="1">
      <alignment horizontal="center" vertical="center"/>
      <protection hidden="1"/>
    </xf>
    <xf numFmtId="0" fontId="7" fillId="9" borderId="6" xfId="0" applyFont="1" applyFill="1" applyBorder="1" applyAlignment="1" applyProtection="1">
      <alignment horizontal="center" vertical="center"/>
      <protection hidden="1"/>
    </xf>
    <xf numFmtId="0" fontId="0" fillId="16" borderId="34" xfId="0" applyFill="1" applyBorder="1" applyAlignment="1" applyProtection="1">
      <alignment horizontal="center" vertical="center"/>
      <protection hidden="1"/>
    </xf>
    <xf numFmtId="0" fontId="0" fillId="16" borderId="4" xfId="0" applyFill="1" applyBorder="1" applyAlignment="1" applyProtection="1">
      <alignment horizontal="center" vertical="center"/>
      <protection hidden="1"/>
    </xf>
    <xf numFmtId="0" fontId="7" fillId="10" borderId="1" xfId="0" applyFont="1" applyFill="1" applyBorder="1" applyAlignment="1" applyProtection="1">
      <alignment horizontal="center" vertical="center"/>
      <protection hidden="1"/>
    </xf>
    <xf numFmtId="0" fontId="9" fillId="2" borderId="0" xfId="0" applyFont="1" applyFill="1" applyAlignment="1">
      <alignment horizontal="center" vertical="center"/>
    </xf>
  </cellXfs>
  <cellStyles count="11">
    <cellStyle name="Moeda" xfId="4" builtinId="4"/>
    <cellStyle name="Moeda 2" xfId="7" xr:uid="{818743B1-CD83-4444-8406-42D29C44F95F}"/>
    <cellStyle name="Moeda 2 2" xfId="10" xr:uid="{AAA1111C-40A5-4D3A-AB86-5BDDC9B6D9D6}"/>
    <cellStyle name="Normal" xfId="0" builtinId="0"/>
    <cellStyle name="Normal 2" xfId="3" xr:uid="{7B0227A1-204D-44A4-B002-1E9F71EBBFF6}"/>
    <cellStyle name="Normal 2 2" xfId="8" xr:uid="{2FF4C7C5-756B-418C-8A42-3B0FABF6F6CF}"/>
    <cellStyle name="Normal 3" xfId="5" xr:uid="{57A72D6E-C34E-42F3-890E-0415806320DE}"/>
    <cellStyle name="Porcentagem" xfId="2" builtinId="5"/>
    <cellStyle name="Porcentagem 2" xfId="6" xr:uid="{0B9602B2-193C-411B-9381-C8CFFF28E721}"/>
    <cellStyle name="Vírgula" xfId="1" builtinId="3"/>
    <cellStyle name="Vírgula 2" xfId="9" xr:uid="{975AA1FA-BB9D-4594-B0B4-8ABC6D74F44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D770B-03FC-470F-80A3-743E0F001AD8}">
  <dimension ref="A1:K18"/>
  <sheetViews>
    <sheetView showGridLines="0" zoomScale="140" zoomScaleNormal="140" workbookViewId="0">
      <selection activeCell="D23" sqref="D23"/>
    </sheetView>
  </sheetViews>
  <sheetFormatPr defaultColWidth="12" defaultRowHeight="15" x14ac:dyDescent="0.25"/>
  <cols>
    <col min="1" max="1" width="5.25" style="114" customWidth="1"/>
    <col min="2" max="2" width="13.75" style="126" bestFit="1" customWidth="1"/>
    <col min="3" max="3" width="16.75" style="119" customWidth="1"/>
    <col min="4" max="4" width="12.25" style="119" customWidth="1"/>
    <col min="5" max="5" width="11.875" style="126" customWidth="1"/>
    <col min="6" max="6" width="14.625" style="119" bestFit="1" customWidth="1"/>
    <col min="7" max="7" width="11.875" style="119" customWidth="1"/>
    <col min="8" max="8" width="11.875" style="126" customWidth="1"/>
    <col min="9" max="10" width="11.875" style="114" customWidth="1"/>
    <col min="11" max="11" width="13.75" style="114" bestFit="1" customWidth="1"/>
    <col min="12" max="16384" width="12" style="114"/>
  </cols>
  <sheetData>
    <row r="1" spans="1:11" ht="37.15" customHeight="1" x14ac:dyDescent="0.25">
      <c r="A1" s="168" t="s">
        <v>71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</row>
    <row r="2" spans="1:11" ht="7.15" customHeight="1" thickBot="1" x14ac:dyDescent="0.3">
      <c r="A2" s="122"/>
      <c r="B2" s="125"/>
      <c r="C2" s="123"/>
      <c r="D2" s="123"/>
      <c r="E2" s="136"/>
      <c r="F2" s="123"/>
      <c r="G2" s="123"/>
      <c r="H2" s="136"/>
    </row>
    <row r="3" spans="1:11" ht="22.15" customHeight="1" thickBot="1" x14ac:dyDescent="0.3">
      <c r="A3" s="166" t="s">
        <v>66</v>
      </c>
      <c r="B3" s="167"/>
      <c r="C3" s="152">
        <v>10000</v>
      </c>
      <c r="D3" s="154"/>
      <c r="E3" s="129"/>
      <c r="F3" s="137">
        <v>500000</v>
      </c>
      <c r="G3" s="137"/>
      <c r="H3" s="129"/>
    </row>
    <row r="4" spans="1:11" ht="8.4499999999999993" customHeight="1" thickBot="1" x14ac:dyDescent="0.3">
      <c r="A4" s="145"/>
      <c r="B4" s="129"/>
      <c r="C4" s="130"/>
      <c r="D4" s="130"/>
      <c r="E4" s="129"/>
      <c r="F4" s="137"/>
      <c r="G4" s="137"/>
      <c r="H4" s="129"/>
    </row>
    <row r="5" spans="1:11" ht="24" thickBot="1" x14ac:dyDescent="0.3">
      <c r="A5" s="146"/>
      <c r="B5" s="143" t="s">
        <v>65</v>
      </c>
      <c r="C5" s="143" t="s">
        <v>60</v>
      </c>
      <c r="D5" s="143" t="s">
        <v>69</v>
      </c>
      <c r="E5" s="143" t="s">
        <v>63</v>
      </c>
      <c r="F5" s="143" t="s">
        <v>67</v>
      </c>
      <c r="G5" s="143" t="s">
        <v>64</v>
      </c>
      <c r="H5" s="143" t="s">
        <v>61</v>
      </c>
      <c r="I5" s="143" t="s">
        <v>62</v>
      </c>
      <c r="J5" s="143" t="s">
        <v>72</v>
      </c>
      <c r="K5" s="147" t="s">
        <v>70</v>
      </c>
    </row>
    <row r="6" spans="1:11" s="151" customFormat="1" x14ac:dyDescent="0.25">
      <c r="A6" s="148" t="s">
        <v>73</v>
      </c>
      <c r="B6" s="149">
        <v>250</v>
      </c>
      <c r="C6" s="155">
        <f>C3*1.5%</f>
        <v>150</v>
      </c>
      <c r="D6" s="158">
        <f>C3*1%</f>
        <v>100</v>
      </c>
      <c r="E6" s="156">
        <f>C3*0.25%</f>
        <v>25</v>
      </c>
      <c r="F6" s="156">
        <f>C3*0.2%</f>
        <v>20</v>
      </c>
      <c r="G6" s="156">
        <f>C3*0.1%</f>
        <v>10</v>
      </c>
      <c r="H6" s="156">
        <f>C3*0.05%</f>
        <v>5</v>
      </c>
      <c r="I6" s="156">
        <f>C3*0.2%</f>
        <v>20</v>
      </c>
      <c r="J6" s="156">
        <f>B6*12%</f>
        <v>30</v>
      </c>
      <c r="K6" s="150">
        <f>B6-D6-C6-E6-F6-G6-H6-I6-J6</f>
        <v>-110</v>
      </c>
    </row>
    <row r="7" spans="1:11" x14ac:dyDescent="0.25">
      <c r="A7" s="148" t="s">
        <v>74</v>
      </c>
      <c r="B7" s="149">
        <f>'20'!H5</f>
        <v>200</v>
      </c>
      <c r="C7" s="134">
        <f>C3*1.25%</f>
        <v>125</v>
      </c>
      <c r="D7" s="158">
        <f>C3*1%</f>
        <v>100</v>
      </c>
      <c r="E7" s="135">
        <f>C3*0.2%</f>
        <v>20</v>
      </c>
      <c r="F7" s="135">
        <f>C3*0.15%</f>
        <v>15</v>
      </c>
      <c r="G7" s="135">
        <f>C3*0.08%</f>
        <v>8</v>
      </c>
      <c r="H7" s="135">
        <f>C3*0.03%</f>
        <v>2.9999999999999996</v>
      </c>
      <c r="I7" s="135">
        <f>C3*0.15%</f>
        <v>15</v>
      </c>
      <c r="J7" s="156">
        <f t="shared" ref="J7:J9" si="0">B7*12%</f>
        <v>24</v>
      </c>
      <c r="K7" s="150">
        <f t="shared" ref="K7:K9" si="1">B7-D7-C7-E7-F7-G7-H7-I7-J7</f>
        <v>-110</v>
      </c>
    </row>
    <row r="8" spans="1:11" x14ac:dyDescent="0.25">
      <c r="A8" s="148" t="s">
        <v>75</v>
      </c>
      <c r="B8" s="149">
        <f>'15'!H5</f>
        <v>150</v>
      </c>
      <c r="C8" s="134">
        <f>C3*1%</f>
        <v>100</v>
      </c>
      <c r="D8" s="158">
        <v>0</v>
      </c>
      <c r="E8" s="135">
        <f>C3*0.15%</f>
        <v>15</v>
      </c>
      <c r="F8" s="135">
        <f>C3*0.1%</f>
        <v>10</v>
      </c>
      <c r="G8" s="135">
        <f>C3*0.05%</f>
        <v>5</v>
      </c>
      <c r="H8" s="135">
        <f>C3*0.02%</f>
        <v>2</v>
      </c>
      <c r="I8" s="135">
        <f>C3*0.1%</f>
        <v>10</v>
      </c>
      <c r="J8" s="156">
        <f t="shared" si="0"/>
        <v>18</v>
      </c>
      <c r="K8" s="150">
        <f t="shared" si="1"/>
        <v>-10</v>
      </c>
    </row>
    <row r="9" spans="1:11" x14ac:dyDescent="0.25">
      <c r="A9" s="159" t="s">
        <v>76</v>
      </c>
      <c r="B9" s="160">
        <f>'10'!H5</f>
        <v>100</v>
      </c>
      <c r="C9" s="161">
        <f>C3*0.5%</f>
        <v>50</v>
      </c>
      <c r="D9" s="162">
        <v>0</v>
      </c>
      <c r="E9" s="163">
        <f>C3*0.1%</f>
        <v>10</v>
      </c>
      <c r="F9" s="163">
        <f>C3*0.05%</f>
        <v>5</v>
      </c>
      <c r="G9" s="163">
        <f>C3*0.02%</f>
        <v>2</v>
      </c>
      <c r="H9" s="163">
        <f>C3*0.01%</f>
        <v>1</v>
      </c>
      <c r="I9" s="163">
        <f>C3*0.05%</f>
        <v>5</v>
      </c>
      <c r="J9" s="164">
        <f t="shared" si="0"/>
        <v>12</v>
      </c>
      <c r="K9" s="165">
        <f t="shared" si="1"/>
        <v>15</v>
      </c>
    </row>
    <row r="10" spans="1:11" ht="15.75" thickBot="1" x14ac:dyDescent="0.3">
      <c r="A10" s="157"/>
      <c r="B10" s="144"/>
      <c r="C10" s="144"/>
      <c r="D10" s="144"/>
      <c r="E10" s="144"/>
      <c r="F10" s="144"/>
      <c r="G10" s="144"/>
      <c r="H10" s="144"/>
      <c r="I10" s="144"/>
      <c r="J10" s="144"/>
      <c r="K10" s="153"/>
    </row>
    <row r="11" spans="1:11" hidden="1" x14ac:dyDescent="0.25">
      <c r="A11" s="115">
        <v>13</v>
      </c>
      <c r="B11" s="131"/>
      <c r="C11" s="132">
        <v>9.4899999999999998E-2</v>
      </c>
      <c r="D11" s="132"/>
      <c r="E11" s="131"/>
      <c r="F11" s="132">
        <v>8.8200000000000001E-2</v>
      </c>
      <c r="G11" s="132"/>
      <c r="H11" s="131"/>
    </row>
    <row r="12" spans="1:11" hidden="1" x14ac:dyDescent="0.25">
      <c r="A12" s="116">
        <v>14</v>
      </c>
      <c r="B12" s="120"/>
      <c r="C12" s="118">
        <v>8.9700000000000002E-2</v>
      </c>
      <c r="D12" s="118"/>
      <c r="E12" s="120"/>
      <c r="F12" s="118">
        <v>8.3599999999999994E-2</v>
      </c>
      <c r="G12" s="118"/>
      <c r="H12" s="120"/>
    </row>
    <row r="13" spans="1:11" hidden="1" x14ac:dyDescent="0.25">
      <c r="A13" s="116">
        <v>15</v>
      </c>
      <c r="B13" s="120"/>
      <c r="C13" s="118">
        <v>8.4099999999999994E-2</v>
      </c>
      <c r="D13" s="118"/>
      <c r="E13" s="120"/>
      <c r="F13" s="118">
        <v>7.9600000000000004E-2</v>
      </c>
      <c r="G13" s="118"/>
      <c r="H13" s="120"/>
    </row>
    <row r="14" spans="1:11" hidden="1" x14ac:dyDescent="0.25">
      <c r="A14" s="116">
        <v>16</v>
      </c>
      <c r="B14" s="120"/>
      <c r="C14" s="118">
        <v>7.9100000000000004E-2</v>
      </c>
      <c r="D14" s="118"/>
      <c r="E14" s="120"/>
      <c r="F14" s="118">
        <v>7.4899999999999994E-2</v>
      </c>
      <c r="G14" s="118"/>
      <c r="H14" s="120"/>
    </row>
    <row r="15" spans="1:11" hidden="1" x14ac:dyDescent="0.25">
      <c r="A15" s="116">
        <v>17</v>
      </c>
      <c r="B15" s="120"/>
      <c r="C15" s="118">
        <v>7.4700000000000003E-2</v>
      </c>
      <c r="D15" s="118"/>
      <c r="E15" s="120"/>
      <c r="F15" s="118">
        <v>7.0800000000000002E-2</v>
      </c>
      <c r="G15" s="118"/>
      <c r="H15" s="120"/>
    </row>
    <row r="16" spans="1:11" hidden="1" x14ac:dyDescent="0.25">
      <c r="A16" s="116">
        <v>18</v>
      </c>
      <c r="B16" s="120"/>
      <c r="C16" s="118">
        <v>7.0800000000000002E-2</v>
      </c>
      <c r="D16" s="118"/>
      <c r="E16" s="120"/>
      <c r="F16" s="118">
        <v>6.7199999999999996E-2</v>
      </c>
      <c r="G16" s="118"/>
      <c r="H16" s="120"/>
    </row>
    <row r="17" hidden="1" x14ac:dyDescent="0.25"/>
    <row r="18" ht="6.6" customHeight="1" x14ac:dyDescent="0.25"/>
  </sheetData>
  <mergeCells count="2">
    <mergeCell ref="A3:B3"/>
    <mergeCell ref="A1:K1"/>
  </mergeCells>
  <conditionalFormatting sqref="K6:K9">
    <cfRule type="cellIs" dxfId="0" priority="1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1B7DF-40DB-43D1-B104-7DFABFFFB06B}">
  <dimension ref="A1:I25"/>
  <sheetViews>
    <sheetView showGridLines="0" zoomScale="128" zoomScaleNormal="128" workbookViewId="0">
      <selection activeCell="D5" sqref="D5:E5"/>
    </sheetView>
  </sheetViews>
  <sheetFormatPr defaultColWidth="12" defaultRowHeight="15" x14ac:dyDescent="0.25"/>
  <cols>
    <col min="1" max="1" width="9.625" style="114" customWidth="1"/>
    <col min="2" max="2" width="12.75" style="126" bestFit="1" customWidth="1"/>
    <col min="3" max="3" width="16.375" style="119" customWidth="1"/>
    <col min="4" max="4" width="12.75" style="126" bestFit="1" customWidth="1"/>
    <col min="5" max="5" width="14.125" style="119" customWidth="1"/>
    <col min="6" max="6" width="14.125" style="126" customWidth="1"/>
    <col min="7" max="7" width="12.875" style="119" bestFit="1" customWidth="1"/>
    <col min="8" max="8" width="12.75" style="126" bestFit="1" customWidth="1"/>
    <col min="9" max="9" width="12.875" style="119" bestFit="1" customWidth="1"/>
    <col min="10" max="16384" width="12" style="114"/>
  </cols>
  <sheetData>
    <row r="1" spans="1:9" ht="22.15" customHeight="1" x14ac:dyDescent="0.25">
      <c r="A1" s="170" t="s">
        <v>53</v>
      </c>
      <c r="B1" s="171"/>
      <c r="C1" s="171"/>
      <c r="D1" s="171"/>
      <c r="E1" s="171"/>
      <c r="F1" s="171"/>
      <c r="G1" s="171"/>
      <c r="H1" s="171"/>
      <c r="I1" s="171"/>
    </row>
    <row r="2" spans="1:9" ht="7.15" customHeight="1" thickBot="1" x14ac:dyDescent="0.3">
      <c r="A2" s="122"/>
      <c r="B2" s="125"/>
      <c r="C2" s="123"/>
      <c r="D2" s="136"/>
      <c r="E2" s="123"/>
      <c r="F2" s="136"/>
      <c r="G2" s="123"/>
      <c r="H2" s="136"/>
      <c r="I2" s="123"/>
    </row>
    <row r="3" spans="1:9" ht="22.15" customHeight="1" thickBot="1" x14ac:dyDescent="0.3">
      <c r="A3" s="176" t="s">
        <v>40</v>
      </c>
      <c r="B3" s="177"/>
      <c r="C3" s="124">
        <v>1000</v>
      </c>
      <c r="D3" s="129"/>
      <c r="E3" s="137"/>
      <c r="F3" s="129"/>
      <c r="G3" s="138"/>
      <c r="H3" s="139"/>
      <c r="I3" s="138"/>
    </row>
    <row r="4" spans="1:9" ht="8.4499999999999993" customHeight="1" thickBot="1" x14ac:dyDescent="0.3">
      <c r="A4" s="117"/>
      <c r="B4" s="129"/>
      <c r="C4" s="130"/>
      <c r="D4" s="129"/>
      <c r="E4" s="137"/>
      <c r="F4" s="129"/>
      <c r="G4" s="138"/>
      <c r="H4" s="139"/>
      <c r="I4" s="138"/>
    </row>
    <row r="5" spans="1:9" ht="19.149999999999999" customHeight="1" thickBot="1" x14ac:dyDescent="0.3">
      <c r="A5" s="178" t="s">
        <v>59</v>
      </c>
      <c r="B5" s="172" t="s">
        <v>55</v>
      </c>
      <c r="C5" s="173"/>
      <c r="D5" s="172" t="s">
        <v>56</v>
      </c>
      <c r="E5" s="173"/>
      <c r="F5" s="174" t="s">
        <v>57</v>
      </c>
      <c r="G5" s="175"/>
      <c r="H5" s="174" t="s">
        <v>58</v>
      </c>
      <c r="I5" s="175"/>
    </row>
    <row r="6" spans="1:9" x14ac:dyDescent="0.25">
      <c r="A6" s="179"/>
      <c r="B6" s="141" t="s">
        <v>15</v>
      </c>
      <c r="C6" s="142" t="s">
        <v>54</v>
      </c>
      <c r="D6" s="141" t="s">
        <v>15</v>
      </c>
      <c r="E6" s="142" t="s">
        <v>54</v>
      </c>
      <c r="F6" s="141" t="s">
        <v>15</v>
      </c>
      <c r="G6" s="142" t="s">
        <v>54</v>
      </c>
      <c r="H6" s="141" t="s">
        <v>15</v>
      </c>
      <c r="I6" s="142" t="s">
        <v>54</v>
      </c>
    </row>
    <row r="7" spans="1:9" x14ac:dyDescent="0.25">
      <c r="A7" s="127" t="s">
        <v>41</v>
      </c>
      <c r="B7" s="133">
        <f>C7</f>
        <v>1290.2559867877785</v>
      </c>
      <c r="C7" s="134">
        <f>$C$3*'25'!J9</f>
        <v>1290.2559867877785</v>
      </c>
      <c r="D7" s="133">
        <f>E7</f>
        <v>1238.6457473162673</v>
      </c>
      <c r="E7" s="134">
        <f>$C$3*'20'!J9</f>
        <v>1238.6457473162673</v>
      </c>
      <c r="F7" s="133">
        <f>G7</f>
        <v>1187.0355078447562</v>
      </c>
      <c r="G7" s="134">
        <f>$C$3*'15'!J9</f>
        <v>1187.0355078447562</v>
      </c>
      <c r="H7" s="133">
        <f>I7</f>
        <v>1135.4252683732452</v>
      </c>
      <c r="I7" s="134">
        <f>$C$3*'10'!J9</f>
        <v>1135.4252683732452</v>
      </c>
    </row>
    <row r="8" spans="1:9" x14ac:dyDescent="0.25">
      <c r="A8" s="127" t="s">
        <v>42</v>
      </c>
      <c r="B8" s="133">
        <f>C8/2</f>
        <v>652.53706410524126</v>
      </c>
      <c r="C8" s="134">
        <f>$C$3*'25'!J11</f>
        <v>1305.0741282104825</v>
      </c>
      <c r="D8" s="133">
        <f>E8/2</f>
        <v>626.43558154103152</v>
      </c>
      <c r="E8" s="134">
        <f>$C$3*'20'!J11</f>
        <v>1252.871163082063</v>
      </c>
      <c r="F8" s="133">
        <f>G8/2</f>
        <v>600.33409897682191</v>
      </c>
      <c r="G8" s="134">
        <f>$C$3*'15'!J11</f>
        <v>1200.6681979536438</v>
      </c>
      <c r="H8" s="133">
        <f>I8/2</f>
        <v>574.2326164126124</v>
      </c>
      <c r="I8" s="134">
        <f>$C$3*'10'!J11</f>
        <v>1148.4652328252248</v>
      </c>
    </row>
    <row r="9" spans="1:9" x14ac:dyDescent="0.25">
      <c r="A9" s="127" t="s">
        <v>43</v>
      </c>
      <c r="B9" s="133">
        <f>C9/3</f>
        <v>437.8130363209695</v>
      </c>
      <c r="C9" s="134">
        <f>$C$3*'25'!J12</f>
        <v>1313.4391089629084</v>
      </c>
      <c r="D9" s="133">
        <f>E9/3</f>
        <v>420.30051486813068</v>
      </c>
      <c r="E9" s="134">
        <f>$C$3*'20'!J12</f>
        <v>1260.901544604392</v>
      </c>
      <c r="F9" s="133">
        <f>G9/3</f>
        <v>402.78799341529196</v>
      </c>
      <c r="G9" s="134">
        <f>$C$3*'15'!J12</f>
        <v>1208.3639802458758</v>
      </c>
      <c r="H9" s="133">
        <f>I9/3</f>
        <v>385.2754719624532</v>
      </c>
      <c r="I9" s="134">
        <f>$C$3*'10'!J12</f>
        <v>1155.8264158873596</v>
      </c>
    </row>
    <row r="10" spans="1:9" x14ac:dyDescent="0.25">
      <c r="A10" s="127" t="s">
        <v>44</v>
      </c>
      <c r="B10" s="133">
        <f>C10/4</f>
        <v>330.47800338409479</v>
      </c>
      <c r="C10" s="134">
        <f>$C$3*'25'!J13</f>
        <v>1321.9120135363792</v>
      </c>
      <c r="D10" s="133">
        <f>E10/4</f>
        <v>317.25888324873097</v>
      </c>
      <c r="E10" s="134">
        <f>$C$3*'20'!J13</f>
        <v>1269.0355329949239</v>
      </c>
      <c r="F10" s="133">
        <f>G10/4</f>
        <v>304.03976311336714</v>
      </c>
      <c r="G10" s="134">
        <f>$C$3*'15'!J13</f>
        <v>1216.1590524534686</v>
      </c>
      <c r="H10" s="133">
        <f>I10/4</f>
        <v>290.82064297800343</v>
      </c>
      <c r="I10" s="134">
        <f>$C$3*'10'!J13</f>
        <v>1163.2825719120137</v>
      </c>
    </row>
    <row r="11" spans="1:9" x14ac:dyDescent="0.25">
      <c r="A11" s="127" t="s">
        <v>45</v>
      </c>
      <c r="B11" s="133">
        <f>C11/5</f>
        <v>266.09898882384249</v>
      </c>
      <c r="C11" s="134">
        <f>$C$3*'25'!J14</f>
        <v>1330.4949441192125</v>
      </c>
      <c r="D11" s="133">
        <f>E11/5</f>
        <v>255.45502927088879</v>
      </c>
      <c r="E11" s="134">
        <f>$C$3*'20'!J14</f>
        <v>1277.2751463544439</v>
      </c>
      <c r="F11" s="133">
        <f>G11/5</f>
        <v>244.81106971793506</v>
      </c>
      <c r="G11" s="134">
        <f>$C$3*'15'!J14</f>
        <v>1224.0553485896753</v>
      </c>
      <c r="H11" s="133">
        <f>I11/5</f>
        <v>234.16711016498144</v>
      </c>
      <c r="I11" s="134">
        <f>$C$3*'10'!J14</f>
        <v>1170.8355508249072</v>
      </c>
    </row>
    <row r="12" spans="1:9" x14ac:dyDescent="0.25">
      <c r="A12" s="127" t="s">
        <v>46</v>
      </c>
      <c r="B12" s="133">
        <f>C12/6</f>
        <v>223.15052842045131</v>
      </c>
      <c r="C12" s="134">
        <f>$C$3*'25'!J15</f>
        <v>1338.9031705227078</v>
      </c>
      <c r="D12" s="133">
        <f>E12/6</f>
        <v>214.22450728363324</v>
      </c>
      <c r="E12" s="134">
        <f>$C$3*'20'!J15</f>
        <v>1285.3470437017995</v>
      </c>
      <c r="F12" s="133">
        <f>G12/6</f>
        <v>205.29848614681521</v>
      </c>
      <c r="G12" s="134">
        <f>$C$3*'15'!J15</f>
        <v>1231.7909168808912</v>
      </c>
      <c r="H12" s="133">
        <f>I12/6</f>
        <v>196.37246500999717</v>
      </c>
      <c r="I12" s="134">
        <f>$C$3*'10'!J15</f>
        <v>1178.234790059983</v>
      </c>
    </row>
    <row r="13" spans="1:9" x14ac:dyDescent="0.25">
      <c r="A13" s="127" t="s">
        <v>47</v>
      </c>
      <c r="B13" s="133">
        <f>C13/7</f>
        <v>192.50908642887944</v>
      </c>
      <c r="C13" s="134">
        <f>$C$3*'25'!J16</f>
        <v>1347.563605002156</v>
      </c>
      <c r="D13" s="133">
        <f>E13/7</f>
        <v>184.80872297172428</v>
      </c>
      <c r="E13" s="134">
        <f>$C$3*'20'!J16</f>
        <v>1293.6610608020699</v>
      </c>
      <c r="F13" s="133">
        <f>G13/7</f>
        <v>177.10835951456906</v>
      </c>
      <c r="G13" s="134">
        <f>$C$3*'15'!J16</f>
        <v>1239.7585166019835</v>
      </c>
      <c r="H13" s="133">
        <f>I13/7</f>
        <v>169.40799605741395</v>
      </c>
      <c r="I13" s="134">
        <f>$C$3*'10'!J16</f>
        <v>1185.8559724018976</v>
      </c>
    </row>
    <row r="14" spans="1:9" x14ac:dyDescent="0.25">
      <c r="A14" s="127" t="s">
        <v>48</v>
      </c>
      <c r="B14" s="133">
        <f>C14/8</f>
        <v>169.50531568669993</v>
      </c>
      <c r="C14" s="134">
        <f>$C$3*'25'!J17</f>
        <v>1356.0425254935994</v>
      </c>
      <c r="D14" s="133">
        <f>E14/8</f>
        <v>162.72510305923194</v>
      </c>
      <c r="E14" s="134">
        <f>$C$3*'20'!J17</f>
        <v>1301.8008244738555</v>
      </c>
      <c r="F14" s="133">
        <f>G14/8</f>
        <v>155.94489043176392</v>
      </c>
      <c r="G14" s="134">
        <f>$C$3*'15'!J17</f>
        <v>1247.5591234541114</v>
      </c>
      <c r="H14" s="133">
        <f>I14/8</f>
        <v>149.16467780429596</v>
      </c>
      <c r="I14" s="134">
        <f>$C$3*'10'!J17</f>
        <v>1193.3174224343677</v>
      </c>
    </row>
    <row r="15" spans="1:9" x14ac:dyDescent="0.25">
      <c r="A15" s="127" t="s">
        <v>49</v>
      </c>
      <c r="B15" s="133">
        <f>C15/9</f>
        <v>151.64197935242808</v>
      </c>
      <c r="C15" s="134">
        <f>$C$3*'25'!J18</f>
        <v>1364.7778141718527</v>
      </c>
      <c r="D15" s="133">
        <f>E15/9</f>
        <v>145.57630017833097</v>
      </c>
      <c r="E15" s="134">
        <f>$C$3*'20'!J18</f>
        <v>1310.1867016049787</v>
      </c>
      <c r="F15" s="133">
        <f>G15/9</f>
        <v>139.51062100423383</v>
      </c>
      <c r="G15" s="134">
        <f>$C$3*'15'!J18</f>
        <v>1255.5955890381044</v>
      </c>
      <c r="H15" s="133">
        <f>I15/9</f>
        <v>133.44494183013674</v>
      </c>
      <c r="I15" s="134">
        <f>$C$3*'10'!J18</f>
        <v>1201.0044764712306</v>
      </c>
    </row>
    <row r="16" spans="1:9" x14ac:dyDescent="0.25">
      <c r="A16" s="127" t="s">
        <v>50</v>
      </c>
      <c r="B16" s="133">
        <f>C16/10</f>
        <v>137.66519823788548</v>
      </c>
      <c r="C16" s="134">
        <f>$C$3*'25'!J19</f>
        <v>1376.6519823788547</v>
      </c>
      <c r="D16" s="133">
        <f>E16/10</f>
        <v>132.15859030837004</v>
      </c>
      <c r="E16" s="134">
        <f>$C$3*'20'!J19</f>
        <v>1321.5859030837003</v>
      </c>
      <c r="F16" s="133">
        <f>G16/10</f>
        <v>126.65198237885461</v>
      </c>
      <c r="G16" s="134">
        <f>$C$3*'15'!J19</f>
        <v>1266.5198237885461</v>
      </c>
      <c r="H16" s="133">
        <f>I16/10</f>
        <v>121.14537444933922</v>
      </c>
      <c r="I16" s="134">
        <f>$C$3*'10'!J19</f>
        <v>1211.4537444933922</v>
      </c>
    </row>
    <row r="17" spans="1:9" x14ac:dyDescent="0.25">
      <c r="A17" s="127" t="s">
        <v>51</v>
      </c>
      <c r="B17" s="133">
        <f>C17/11</f>
        <v>125.92682140554483</v>
      </c>
      <c r="C17" s="134">
        <f>$C$3*'25'!J20</f>
        <v>1385.195035460993</v>
      </c>
      <c r="D17" s="133">
        <f>E17/11</f>
        <v>120.88974854932302</v>
      </c>
      <c r="E17" s="134">
        <f>$C$3*'20'!J20</f>
        <v>1329.7872340425531</v>
      </c>
      <c r="F17" s="133">
        <f>G17/11</f>
        <v>115.85267569310122</v>
      </c>
      <c r="G17" s="134">
        <f>$C$3*'15'!J20</f>
        <v>1274.3794326241134</v>
      </c>
      <c r="H17" s="133">
        <f>I17/11</f>
        <v>110.81560283687945</v>
      </c>
      <c r="I17" s="134">
        <f>$C$3*'10'!J20</f>
        <v>1218.9716312056739</v>
      </c>
    </row>
    <row r="18" spans="1:9" ht="15.75" thickBot="1" x14ac:dyDescent="0.3">
      <c r="A18" s="128" t="s">
        <v>52</v>
      </c>
      <c r="B18" s="140">
        <f>C18/12</f>
        <v>116.76568396667041</v>
      </c>
      <c r="C18" s="140">
        <f>$C$3*'25'!J21</f>
        <v>1401.188207600045</v>
      </c>
      <c r="D18" s="140">
        <f>E18/12</f>
        <v>112.09505660800359</v>
      </c>
      <c r="E18" s="140">
        <f>$C$3*'20'!J21</f>
        <v>1345.1406792960431</v>
      </c>
      <c r="F18" s="140">
        <f>G18/12</f>
        <v>107.42442924933677</v>
      </c>
      <c r="G18" s="140">
        <f>$C$3*'15'!J21</f>
        <v>1289.0931509920413</v>
      </c>
      <c r="H18" s="140">
        <f>I18/12</f>
        <v>102.75380189066998</v>
      </c>
      <c r="I18" s="140">
        <f>$C$3*'10'!J21</f>
        <v>1233.0456226880397</v>
      </c>
    </row>
    <row r="19" spans="1:9" hidden="1" x14ac:dyDescent="0.25">
      <c r="A19" s="116">
        <v>13</v>
      </c>
      <c r="B19" s="131"/>
      <c r="C19" s="132">
        <v>9.4899999999999998E-2</v>
      </c>
      <c r="D19" s="131"/>
      <c r="E19" s="132">
        <v>8.8200000000000001E-2</v>
      </c>
      <c r="F19" s="131"/>
      <c r="G19" s="131">
        <f>'15'!H22</f>
        <v>1349.9236999647846</v>
      </c>
      <c r="H19" s="131"/>
      <c r="I19" s="132">
        <v>7.5899999999999995E-2</v>
      </c>
    </row>
    <row r="20" spans="1:9" hidden="1" x14ac:dyDescent="0.25">
      <c r="A20" s="116">
        <v>14</v>
      </c>
      <c r="B20" s="120"/>
      <c r="C20" s="118">
        <v>8.9700000000000002E-2</v>
      </c>
      <c r="D20" s="120"/>
      <c r="E20" s="118">
        <v>8.3599999999999994E-2</v>
      </c>
      <c r="F20" s="120"/>
      <c r="G20" s="120">
        <f>'15'!H23</f>
        <v>1360.785705833629</v>
      </c>
      <c r="H20" s="120"/>
      <c r="I20" s="118">
        <v>7.0800000000000002E-2</v>
      </c>
    </row>
    <row r="21" spans="1:9" hidden="1" x14ac:dyDescent="0.25">
      <c r="A21" s="116">
        <v>15</v>
      </c>
      <c r="B21" s="120"/>
      <c r="C21" s="118">
        <v>8.4099999999999994E-2</v>
      </c>
      <c r="D21" s="120"/>
      <c r="E21" s="118">
        <v>7.9600000000000004E-2</v>
      </c>
      <c r="F21" s="120"/>
      <c r="G21" s="120">
        <f>'15'!H24</f>
        <v>1371.8239293808897</v>
      </c>
      <c r="H21" s="120"/>
      <c r="I21" s="118">
        <v>6.6699999999999995E-2</v>
      </c>
    </row>
    <row r="22" spans="1:9" hidden="1" x14ac:dyDescent="0.25">
      <c r="A22" s="116">
        <v>16</v>
      </c>
      <c r="B22" s="120"/>
      <c r="C22" s="118">
        <v>7.9100000000000004E-2</v>
      </c>
      <c r="D22" s="120"/>
      <c r="E22" s="118">
        <v>7.4899999999999994E-2</v>
      </c>
      <c r="F22" s="120"/>
      <c r="G22" s="120">
        <f>'15'!H25</f>
        <v>1383.0426939266385</v>
      </c>
      <c r="H22" s="120"/>
      <c r="I22" s="118">
        <v>6.2799999999999995E-2</v>
      </c>
    </row>
    <row r="23" spans="1:9" hidden="1" x14ac:dyDescent="0.25">
      <c r="A23" s="116">
        <v>17</v>
      </c>
      <c r="B23" s="120"/>
      <c r="C23" s="118">
        <v>7.4700000000000003E-2</v>
      </c>
      <c r="D23" s="120"/>
      <c r="E23" s="118">
        <v>7.0800000000000002E-2</v>
      </c>
      <c r="F23" s="120"/>
      <c r="G23" s="120">
        <f>'15'!H26</f>
        <v>1394.6155711860295</v>
      </c>
      <c r="H23" s="120"/>
      <c r="I23" s="118">
        <v>5.96E-2</v>
      </c>
    </row>
    <row r="24" spans="1:9" hidden="1" x14ac:dyDescent="0.25">
      <c r="A24" s="116">
        <v>18</v>
      </c>
      <c r="B24" s="120"/>
      <c r="C24" s="118">
        <v>7.0800000000000002E-2</v>
      </c>
      <c r="D24" s="120"/>
      <c r="E24" s="118">
        <v>6.7199999999999996E-2</v>
      </c>
      <c r="F24" s="120"/>
      <c r="G24" s="120">
        <f>'15'!H27</f>
        <v>1406.2117877231597</v>
      </c>
      <c r="H24" s="120"/>
      <c r="I24" s="118">
        <v>5.6399999999999999E-2</v>
      </c>
    </row>
    <row r="25" spans="1:9" hidden="1" x14ac:dyDescent="0.25">
      <c r="G25" s="120">
        <f>'15'!H28</f>
        <v>1418.0024660912457</v>
      </c>
      <c r="H25" s="121"/>
    </row>
  </sheetData>
  <mergeCells count="7">
    <mergeCell ref="A1:I1"/>
    <mergeCell ref="B5:C5"/>
    <mergeCell ref="D5:E5"/>
    <mergeCell ref="F5:G5"/>
    <mergeCell ref="H5:I5"/>
    <mergeCell ref="A3:B3"/>
    <mergeCell ref="A5:A6"/>
  </mergeCells>
  <pageMargins left="0.511811024" right="0.511811024" top="0.78740157499999996" bottom="0.78740157499999996" header="0.31496062000000002" footer="0.31496062000000002"/>
  <ignoredErrors>
    <ignoredError sqref="C7:C18 E7:E18 G7:G1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05AF7-9928-4B3B-BBB9-2A21EC99A95B}">
  <sheetPr>
    <tabColor theme="3"/>
    <pageSetUpPr fitToPage="1"/>
  </sheetPr>
  <dimension ref="A1:T38"/>
  <sheetViews>
    <sheetView showGridLines="0" topLeftCell="A7" zoomScale="110" zoomScaleNormal="110" workbookViewId="0">
      <selection activeCell="H21" sqref="H21"/>
    </sheetView>
  </sheetViews>
  <sheetFormatPr defaultColWidth="11" defaultRowHeight="15.75" x14ac:dyDescent="0.25"/>
  <cols>
    <col min="1" max="1" width="22.375" style="1" customWidth="1"/>
    <col min="2" max="2" width="12" style="1" hidden="1" customWidth="1"/>
    <col min="3" max="3" width="10.625" style="1" bestFit="1" customWidth="1"/>
    <col min="4" max="4" width="7" style="1" bestFit="1" customWidth="1"/>
    <col min="5" max="5" width="10.125" style="1" bestFit="1" customWidth="1"/>
    <col min="6" max="6" width="10.75" style="1" bestFit="1" customWidth="1"/>
    <col min="7" max="7" width="1.75" style="1" customWidth="1"/>
    <col min="8" max="9" width="12.625" style="1" bestFit="1" customWidth="1"/>
    <col min="10" max="10" width="8.25" style="1" bestFit="1" customWidth="1"/>
    <col min="11" max="11" width="10.75" style="1" customWidth="1"/>
    <col min="12" max="12" width="2.25" style="1" customWidth="1"/>
    <col min="13" max="13" width="4" style="1" customWidth="1"/>
    <col min="14" max="14" width="2.375" style="1" hidden="1" customWidth="1"/>
    <col min="15" max="15" width="25.625" style="1" hidden="1" customWidth="1"/>
    <col min="16" max="16" width="12" style="1" hidden="1" customWidth="1"/>
    <col min="17" max="17" width="16.5" style="1" hidden="1" customWidth="1"/>
    <col min="18" max="18" width="2.5" style="1" hidden="1" customWidth="1"/>
    <col min="19" max="16384" width="11" style="1"/>
  </cols>
  <sheetData>
    <row r="1" spans="1:20" s="84" customFormat="1" ht="26.1" customHeight="1" x14ac:dyDescent="0.5">
      <c r="A1" s="188" t="s">
        <v>23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83"/>
      <c r="N1" s="189" t="s">
        <v>22</v>
      </c>
      <c r="O1" s="189"/>
      <c r="P1" s="189"/>
      <c r="Q1" s="189"/>
      <c r="R1" s="189"/>
    </row>
    <row r="2" spans="1:20" ht="12" customHeight="1" thickBot="1" x14ac:dyDescent="0.3"/>
    <row r="3" spans="1:20" ht="12" customHeight="1" x14ac:dyDescent="0.25">
      <c r="A3" s="42"/>
      <c r="B3" s="39"/>
      <c r="C3" s="190"/>
      <c r="D3" s="190"/>
      <c r="E3" s="190"/>
      <c r="F3" s="39"/>
      <c r="G3" s="39"/>
      <c r="H3" s="190"/>
      <c r="I3" s="190"/>
      <c r="J3" s="190"/>
      <c r="K3" s="39"/>
      <c r="L3" s="30"/>
      <c r="N3" s="45"/>
      <c r="O3" s="191"/>
      <c r="P3" s="191"/>
      <c r="Q3" s="46"/>
      <c r="R3" s="47"/>
    </row>
    <row r="4" spans="1:20" ht="18.75" x14ac:dyDescent="0.25">
      <c r="A4" s="43" t="s">
        <v>20</v>
      </c>
      <c r="B4" s="41"/>
      <c r="C4" s="180" t="s">
        <v>27</v>
      </c>
      <c r="D4" s="181"/>
      <c r="E4" s="182"/>
      <c r="F4" s="41"/>
      <c r="G4" s="41"/>
      <c r="H4" s="183" t="s">
        <v>19</v>
      </c>
      <c r="I4" s="184"/>
      <c r="J4" s="185"/>
      <c r="K4" s="41"/>
      <c r="L4" s="31"/>
      <c r="N4" s="48"/>
      <c r="O4" s="186" t="s">
        <v>24</v>
      </c>
      <c r="P4" s="187"/>
      <c r="Q4" s="22"/>
      <c r="R4" s="49"/>
    </row>
    <row r="5" spans="1:20" ht="21.75" customHeight="1" x14ac:dyDescent="0.25">
      <c r="A5" s="44">
        <v>1000</v>
      </c>
      <c r="B5" s="40"/>
      <c r="C5" s="194">
        <f>A5*(1+$K$7)</f>
        <v>1100</v>
      </c>
      <c r="D5" s="195"/>
      <c r="E5" s="196"/>
      <c r="F5" s="40"/>
      <c r="G5" s="40"/>
      <c r="H5" s="197">
        <f>IFERROR((C5-(A5)),0)</f>
        <v>100</v>
      </c>
      <c r="I5" s="198"/>
      <c r="J5" s="199"/>
      <c r="K5" s="40"/>
      <c r="L5" s="31"/>
      <c r="N5" s="48"/>
      <c r="O5" s="200">
        <f>A5</f>
        <v>1000</v>
      </c>
      <c r="P5" s="201"/>
      <c r="Q5" s="22"/>
      <c r="R5" s="49"/>
    </row>
    <row r="6" spans="1:20" ht="12.75" customHeight="1" x14ac:dyDescent="0.25">
      <c r="A6" s="34"/>
      <c r="B6" s="35"/>
      <c r="C6" s="35"/>
      <c r="D6" s="35"/>
      <c r="E6" s="35"/>
      <c r="F6" s="35"/>
      <c r="G6" s="35"/>
      <c r="H6" s="35"/>
      <c r="I6" s="35"/>
      <c r="J6" s="35"/>
      <c r="K6" s="35"/>
      <c r="L6" s="31"/>
      <c r="N6" s="48"/>
      <c r="O6" s="22"/>
      <c r="P6" s="22"/>
      <c r="Q6" s="22"/>
      <c r="R6" s="49"/>
    </row>
    <row r="7" spans="1:20" s="19" customFormat="1" ht="23.25" customHeight="1" x14ac:dyDescent="0.25">
      <c r="A7" s="112" t="s">
        <v>17</v>
      </c>
      <c r="B7" s="202" t="s">
        <v>39</v>
      </c>
      <c r="C7" s="203"/>
      <c r="D7" s="203"/>
      <c r="E7" s="203"/>
      <c r="F7" s="204"/>
      <c r="G7" s="36"/>
      <c r="H7" s="205" t="s">
        <v>18</v>
      </c>
      <c r="I7" s="206"/>
      <c r="J7" s="206"/>
      <c r="K7" s="20">
        <v>0.1</v>
      </c>
      <c r="L7" s="32"/>
      <c r="N7" s="50"/>
      <c r="O7" s="207" t="s">
        <v>17</v>
      </c>
      <c r="P7" s="209" t="s">
        <v>15</v>
      </c>
      <c r="Q7" s="192" t="s">
        <v>21</v>
      </c>
      <c r="R7" s="51"/>
      <c r="T7" s="99"/>
    </row>
    <row r="8" spans="1:20" x14ac:dyDescent="0.25">
      <c r="A8" s="113"/>
      <c r="B8" s="18" t="s">
        <v>16</v>
      </c>
      <c r="C8" s="18" t="s">
        <v>15</v>
      </c>
      <c r="D8" s="18" t="s">
        <v>14</v>
      </c>
      <c r="E8" s="18" t="s">
        <v>13</v>
      </c>
      <c r="F8" s="18" t="s">
        <v>12</v>
      </c>
      <c r="G8" s="37"/>
      <c r="H8" s="72" t="s">
        <v>16</v>
      </c>
      <c r="I8" s="72" t="s">
        <v>15</v>
      </c>
      <c r="J8" s="72" t="s">
        <v>13</v>
      </c>
      <c r="K8" s="72" t="s">
        <v>12</v>
      </c>
      <c r="L8" s="31"/>
      <c r="N8" s="48"/>
      <c r="O8" s="208"/>
      <c r="P8" s="209"/>
      <c r="Q8" s="193"/>
      <c r="R8" s="49"/>
      <c r="T8" s="100"/>
    </row>
    <row r="9" spans="1:20" x14ac:dyDescent="0.25">
      <c r="A9" s="23" t="s">
        <v>11</v>
      </c>
      <c r="B9" s="17">
        <f>($A$5)/(1-D9)</f>
        <v>1032.2047894302229</v>
      </c>
      <c r="C9" s="17">
        <f>B9</f>
        <v>1032.2047894302229</v>
      </c>
      <c r="D9" s="16">
        <v>3.1199999999999999E-2</v>
      </c>
      <c r="E9" s="101">
        <f>B9/$A$5</f>
        <v>1.0322047894302229</v>
      </c>
      <c r="F9" s="14">
        <f>C9/A5</f>
        <v>1.0322047894302229</v>
      </c>
      <c r="G9" s="38"/>
      <c r="H9" s="17">
        <f>$A$5*J9</f>
        <v>1135.4252683732452</v>
      </c>
      <c r="I9" s="17">
        <f>H9</f>
        <v>1135.4252683732452</v>
      </c>
      <c r="J9" s="15">
        <f>E9*(1+$K$7)</f>
        <v>1.1354252683732453</v>
      </c>
      <c r="K9" s="14">
        <f>I9/$A$5</f>
        <v>1.1354252683732453</v>
      </c>
      <c r="L9" s="31"/>
      <c r="N9" s="48"/>
      <c r="O9" s="85" t="s">
        <v>11</v>
      </c>
      <c r="P9" s="17">
        <f>$O$5</f>
        <v>1000</v>
      </c>
      <c r="Q9" s="17">
        <f>$O$5*(1-D9)</f>
        <v>968.8</v>
      </c>
      <c r="R9" s="52"/>
      <c r="T9" s="21"/>
    </row>
    <row r="10" spans="1:20" ht="12.75" customHeight="1" x14ac:dyDescent="0.25">
      <c r="A10" s="24"/>
      <c r="B10" s="4"/>
      <c r="C10" s="4"/>
      <c r="D10" s="3"/>
      <c r="E10" s="102"/>
      <c r="F10" s="2"/>
      <c r="G10" s="38"/>
      <c r="H10" s="4"/>
      <c r="I10" s="4"/>
      <c r="J10" s="5"/>
      <c r="K10" s="2"/>
      <c r="L10" s="31"/>
      <c r="N10" s="48"/>
      <c r="O10" s="86"/>
      <c r="P10" s="4"/>
      <c r="Q10" s="4"/>
      <c r="R10" s="49"/>
    </row>
    <row r="11" spans="1:20" x14ac:dyDescent="0.25">
      <c r="A11" s="25" t="s">
        <v>10</v>
      </c>
      <c r="B11" s="13">
        <f t="shared" ref="B11:B34" si="0">$A$5/(1-D11)</f>
        <v>1044.0593025683859</v>
      </c>
      <c r="C11" s="13">
        <f>B11/2</f>
        <v>522.02965128419294</v>
      </c>
      <c r="D11" s="12">
        <v>4.2200000000000001E-2</v>
      </c>
      <c r="E11" s="103">
        <f>B11/$A$5</f>
        <v>1.044059302568386</v>
      </c>
      <c r="F11" s="10">
        <f t="shared" ref="F11:F20" si="1">C11/$A$5</f>
        <v>0.52202965128419299</v>
      </c>
      <c r="G11" s="38"/>
      <c r="H11" s="13">
        <f>$A$5*J11</f>
        <v>1148.4652328252248</v>
      </c>
      <c r="I11" s="13">
        <f>H11/2</f>
        <v>574.2326164126124</v>
      </c>
      <c r="J11" s="11">
        <f t="shared" ref="J11:J34" si="2">E11*(1+$K$7)</f>
        <v>1.1484652328252247</v>
      </c>
      <c r="K11" s="10">
        <f t="shared" ref="K11:K30" si="3">I11/$A$5</f>
        <v>0.57423261641261236</v>
      </c>
      <c r="L11" s="31"/>
      <c r="N11" s="48"/>
      <c r="O11" s="87" t="s">
        <v>10</v>
      </c>
      <c r="P11" s="13">
        <f>$O$5/2</f>
        <v>500</v>
      </c>
      <c r="Q11" s="13">
        <f t="shared" ref="Q11:Q20" si="4">$O$5*(1-D11)</f>
        <v>957.8</v>
      </c>
      <c r="R11" s="52"/>
    </row>
    <row r="12" spans="1:20" x14ac:dyDescent="0.25">
      <c r="A12" s="25" t="s">
        <v>9</v>
      </c>
      <c r="B12" s="13">
        <f t="shared" si="0"/>
        <v>1050.7512871703268</v>
      </c>
      <c r="C12" s="13">
        <f>B12/3</f>
        <v>350.2504290567756</v>
      </c>
      <c r="D12" s="12">
        <v>4.8300000000000003E-2</v>
      </c>
      <c r="E12" s="103">
        <f>B12/$A$5</f>
        <v>1.0507512871703268</v>
      </c>
      <c r="F12" s="10">
        <f t="shared" si="1"/>
        <v>0.35025042905677561</v>
      </c>
      <c r="G12" s="38"/>
      <c r="H12" s="13">
        <f t="shared" ref="H12:H15" si="5">$A$5*J12</f>
        <v>1155.8264158873596</v>
      </c>
      <c r="I12" s="13">
        <f>H12/3</f>
        <v>385.2754719624532</v>
      </c>
      <c r="J12" s="11">
        <f t="shared" si="2"/>
        <v>1.1558264158873597</v>
      </c>
      <c r="K12" s="10">
        <f t="shared" si="3"/>
        <v>0.38527547196245321</v>
      </c>
      <c r="L12" s="31"/>
      <c r="N12" s="48"/>
      <c r="O12" s="87" t="s">
        <v>9</v>
      </c>
      <c r="P12" s="13">
        <f>$O$5/3</f>
        <v>333.33333333333331</v>
      </c>
      <c r="Q12" s="13">
        <f t="shared" si="4"/>
        <v>951.7</v>
      </c>
      <c r="R12" s="52"/>
      <c r="T12" s="100"/>
    </row>
    <row r="13" spans="1:20" x14ac:dyDescent="0.25">
      <c r="A13" s="25" t="s">
        <v>8</v>
      </c>
      <c r="B13" s="13">
        <f>$A$5/(1-D13)</f>
        <v>1057.5296108291031</v>
      </c>
      <c r="C13" s="13">
        <f>B13/4</f>
        <v>264.38240270727579</v>
      </c>
      <c r="D13" s="12">
        <v>5.4399999999999997E-2</v>
      </c>
      <c r="E13" s="103">
        <f>B13/$A$5</f>
        <v>1.0575296108291032</v>
      </c>
      <c r="F13" s="10">
        <f t="shared" si="1"/>
        <v>0.26438240270727581</v>
      </c>
      <c r="G13" s="38"/>
      <c r="H13" s="13">
        <f t="shared" si="5"/>
        <v>1163.2825719120137</v>
      </c>
      <c r="I13" s="13">
        <f>H13/4</f>
        <v>290.82064297800343</v>
      </c>
      <c r="J13" s="11">
        <f t="shared" si="2"/>
        <v>1.1632825719120137</v>
      </c>
      <c r="K13" s="10">
        <f t="shared" si="3"/>
        <v>0.29082064297800342</v>
      </c>
      <c r="L13" s="31"/>
      <c r="N13" s="48"/>
      <c r="O13" s="87" t="s">
        <v>8</v>
      </c>
      <c r="P13" s="13">
        <f>$O$5/4</f>
        <v>250</v>
      </c>
      <c r="Q13" s="13">
        <f t="shared" si="4"/>
        <v>945.6</v>
      </c>
      <c r="R13" s="52"/>
    </row>
    <row r="14" spans="1:20" x14ac:dyDescent="0.25">
      <c r="A14" s="25" t="s">
        <v>7</v>
      </c>
      <c r="B14" s="13">
        <f t="shared" si="0"/>
        <v>1064.39595529537</v>
      </c>
      <c r="C14" s="13">
        <f>B14/5</f>
        <v>212.879191059074</v>
      </c>
      <c r="D14" s="12">
        <v>6.0499999999999998E-2</v>
      </c>
      <c r="E14" s="103">
        <f>B14/$A$5</f>
        <v>1.0643959552953699</v>
      </c>
      <c r="F14" s="10">
        <f t="shared" si="1"/>
        <v>0.21287919105907399</v>
      </c>
      <c r="G14" s="38"/>
      <c r="H14" s="13">
        <f t="shared" si="5"/>
        <v>1170.8355508249072</v>
      </c>
      <c r="I14" s="13">
        <f>H14/5</f>
        <v>234.16711016498144</v>
      </c>
      <c r="J14" s="11">
        <f t="shared" si="2"/>
        <v>1.1708355508249071</v>
      </c>
      <c r="K14" s="10">
        <f t="shared" si="3"/>
        <v>0.23416711016498143</v>
      </c>
      <c r="L14" s="31"/>
      <c r="N14" s="48"/>
      <c r="O14" s="87" t="s">
        <v>7</v>
      </c>
      <c r="P14" s="13">
        <f>$O$5/5</f>
        <v>200</v>
      </c>
      <c r="Q14" s="13">
        <f t="shared" si="4"/>
        <v>939.5</v>
      </c>
      <c r="R14" s="52"/>
    </row>
    <row r="15" spans="1:20" x14ac:dyDescent="0.25">
      <c r="A15" s="25" t="s">
        <v>6</v>
      </c>
      <c r="B15" s="13">
        <f>$A$5/(1-D15)</f>
        <v>1071.1225364181662</v>
      </c>
      <c r="C15" s="13">
        <f>B15/6</f>
        <v>178.52042273636104</v>
      </c>
      <c r="D15" s="12">
        <v>6.6400000000000001E-2</v>
      </c>
      <c r="E15" s="103">
        <f t="shared" ref="E15:E20" si="6">B15/$A$5</f>
        <v>1.0711225364181662</v>
      </c>
      <c r="F15" s="10">
        <f t="shared" si="1"/>
        <v>0.17852042273636104</v>
      </c>
      <c r="G15" s="38"/>
      <c r="H15" s="13">
        <f t="shared" si="5"/>
        <v>1178.234790059983</v>
      </c>
      <c r="I15" s="13">
        <f>H15/6</f>
        <v>196.37246500999717</v>
      </c>
      <c r="J15" s="11">
        <f t="shared" si="2"/>
        <v>1.178234790059983</v>
      </c>
      <c r="K15" s="10">
        <f t="shared" si="3"/>
        <v>0.19637246500999717</v>
      </c>
      <c r="L15" s="31"/>
      <c r="N15" s="48"/>
      <c r="O15" s="87" t="s">
        <v>6</v>
      </c>
      <c r="P15" s="13">
        <f>$O$5/6</f>
        <v>166.66666666666666</v>
      </c>
      <c r="Q15" s="13">
        <f t="shared" si="4"/>
        <v>933.6</v>
      </c>
      <c r="R15" s="52"/>
    </row>
    <row r="16" spans="1:20" x14ac:dyDescent="0.25">
      <c r="A16" s="26" t="s">
        <v>5</v>
      </c>
      <c r="B16" s="9">
        <f t="shared" si="0"/>
        <v>1078.0508840017249</v>
      </c>
      <c r="C16" s="9">
        <f>B16/7</f>
        <v>154.00726914310354</v>
      </c>
      <c r="D16" s="8">
        <v>7.2400000000000006E-2</v>
      </c>
      <c r="E16" s="104">
        <f t="shared" si="6"/>
        <v>1.0780508840017249</v>
      </c>
      <c r="F16" s="6">
        <f t="shared" si="1"/>
        <v>0.15400726914310353</v>
      </c>
      <c r="G16" s="38"/>
      <c r="H16" s="9">
        <f>$A$5*J16</f>
        <v>1185.8559724018976</v>
      </c>
      <c r="I16" s="9">
        <f>H16/7</f>
        <v>169.40799605741395</v>
      </c>
      <c r="J16" s="7">
        <f t="shared" si="2"/>
        <v>1.1858559724018976</v>
      </c>
      <c r="K16" s="6">
        <f t="shared" si="3"/>
        <v>0.16940799605741394</v>
      </c>
      <c r="L16" s="33"/>
      <c r="M16" s="21"/>
      <c r="N16" s="53"/>
      <c r="O16" s="88" t="s">
        <v>5</v>
      </c>
      <c r="P16" s="9">
        <f>$O$5/7</f>
        <v>142.85714285714286</v>
      </c>
      <c r="Q16" s="9">
        <f t="shared" si="4"/>
        <v>927.6</v>
      </c>
      <c r="R16" s="52"/>
    </row>
    <row r="17" spans="1:20" x14ac:dyDescent="0.25">
      <c r="A17" s="26" t="s">
        <v>4</v>
      </c>
      <c r="B17" s="9">
        <f t="shared" si="0"/>
        <v>1084.8340203948796</v>
      </c>
      <c r="C17" s="9">
        <f>B17/8</f>
        <v>135.60425254935996</v>
      </c>
      <c r="D17" s="8">
        <v>7.8200000000000006E-2</v>
      </c>
      <c r="E17" s="104">
        <f t="shared" si="6"/>
        <v>1.0848340203948796</v>
      </c>
      <c r="F17" s="6">
        <f t="shared" si="1"/>
        <v>0.13560425254935995</v>
      </c>
      <c r="G17" s="38"/>
      <c r="H17" s="9">
        <f t="shared" ref="H17:H30" si="7">$A$5*J17</f>
        <v>1193.3174224343677</v>
      </c>
      <c r="I17" s="9">
        <f>H17/8</f>
        <v>149.16467780429596</v>
      </c>
      <c r="J17" s="7">
        <f t="shared" si="2"/>
        <v>1.1933174224343677</v>
      </c>
      <c r="K17" s="6">
        <f t="shared" si="3"/>
        <v>0.14916467780429596</v>
      </c>
      <c r="L17" s="31"/>
      <c r="N17" s="48"/>
      <c r="O17" s="88" t="s">
        <v>4</v>
      </c>
      <c r="P17" s="9">
        <f>$O$5/8</f>
        <v>125</v>
      </c>
      <c r="Q17" s="9">
        <f t="shared" si="4"/>
        <v>921.8</v>
      </c>
      <c r="R17" s="52"/>
    </row>
    <row r="18" spans="1:20" x14ac:dyDescent="0.25">
      <c r="A18" s="26" t="s">
        <v>3</v>
      </c>
      <c r="B18" s="9">
        <f t="shared" si="0"/>
        <v>1091.8222513374822</v>
      </c>
      <c r="C18" s="9">
        <f>B18/9</f>
        <v>121.31358348194246</v>
      </c>
      <c r="D18" s="8">
        <v>8.4099999999999994E-2</v>
      </c>
      <c r="E18" s="104">
        <f t="shared" si="6"/>
        <v>1.0918222513374822</v>
      </c>
      <c r="F18" s="6">
        <f t="shared" si="1"/>
        <v>0.12131358348194246</v>
      </c>
      <c r="G18" s="38"/>
      <c r="H18" s="9">
        <f t="shared" si="7"/>
        <v>1201.0044764712306</v>
      </c>
      <c r="I18" s="9">
        <f>H18/9</f>
        <v>133.44494183013674</v>
      </c>
      <c r="J18" s="7">
        <f t="shared" si="2"/>
        <v>1.2010044764712307</v>
      </c>
      <c r="K18" s="6">
        <f t="shared" si="3"/>
        <v>0.13344494183013675</v>
      </c>
      <c r="L18" s="31"/>
      <c r="N18" s="48"/>
      <c r="O18" s="88" t="s">
        <v>3</v>
      </c>
      <c r="P18" s="9">
        <f>$O$5/9</f>
        <v>111.11111111111111</v>
      </c>
      <c r="Q18" s="9">
        <f t="shared" si="4"/>
        <v>915.90000000000009</v>
      </c>
      <c r="R18" s="52"/>
    </row>
    <row r="19" spans="1:20" x14ac:dyDescent="0.25">
      <c r="A19" s="26" t="s">
        <v>2</v>
      </c>
      <c r="B19" s="9">
        <f t="shared" si="0"/>
        <v>1101.3215859030836</v>
      </c>
      <c r="C19" s="9">
        <f>B19/10</f>
        <v>110.13215859030836</v>
      </c>
      <c r="D19" s="8">
        <v>9.1999999999999998E-2</v>
      </c>
      <c r="E19" s="104">
        <f t="shared" si="6"/>
        <v>1.1013215859030836</v>
      </c>
      <c r="F19" s="6">
        <f t="shared" si="1"/>
        <v>0.11013215859030837</v>
      </c>
      <c r="G19" s="38"/>
      <c r="H19" s="9">
        <f t="shared" si="7"/>
        <v>1211.4537444933922</v>
      </c>
      <c r="I19" s="9">
        <f>H19/10</f>
        <v>121.14537444933922</v>
      </c>
      <c r="J19" s="7">
        <f t="shared" si="2"/>
        <v>1.2114537444933922</v>
      </c>
      <c r="K19" s="6">
        <f t="shared" si="3"/>
        <v>0.12114537444933922</v>
      </c>
      <c r="L19" s="31"/>
      <c r="N19" s="48"/>
      <c r="O19" s="88" t="s">
        <v>2</v>
      </c>
      <c r="P19" s="9">
        <f>$O$5/10</f>
        <v>100</v>
      </c>
      <c r="Q19" s="9">
        <f t="shared" si="4"/>
        <v>908</v>
      </c>
      <c r="R19" s="52"/>
    </row>
    <row r="20" spans="1:20" x14ac:dyDescent="0.25">
      <c r="A20" s="26" t="s">
        <v>1</v>
      </c>
      <c r="B20" s="9">
        <f t="shared" si="0"/>
        <v>1108.1560283687943</v>
      </c>
      <c r="C20" s="9">
        <f>B20/11</f>
        <v>100.74145712443584</v>
      </c>
      <c r="D20" s="8">
        <v>9.7600000000000006E-2</v>
      </c>
      <c r="E20" s="104">
        <f t="shared" si="6"/>
        <v>1.1081560283687943</v>
      </c>
      <c r="F20" s="6">
        <f t="shared" si="1"/>
        <v>0.10074145712443584</v>
      </c>
      <c r="G20" s="38"/>
      <c r="H20" s="9">
        <f t="shared" si="7"/>
        <v>1218.9716312056739</v>
      </c>
      <c r="I20" s="9">
        <f>H20/11</f>
        <v>110.81560283687945</v>
      </c>
      <c r="J20" s="7">
        <f t="shared" si="2"/>
        <v>1.218971631205674</v>
      </c>
      <c r="K20" s="6">
        <f t="shared" si="3"/>
        <v>0.11081560283687945</v>
      </c>
      <c r="L20" s="31"/>
      <c r="N20" s="48"/>
      <c r="O20" s="88" t="s">
        <v>1</v>
      </c>
      <c r="P20" s="9">
        <f>$O$5/11</f>
        <v>90.909090909090907</v>
      </c>
      <c r="Q20" s="9">
        <f t="shared" si="4"/>
        <v>902.4</v>
      </c>
      <c r="R20" s="52"/>
    </row>
    <row r="21" spans="1:20" x14ac:dyDescent="0.25">
      <c r="A21" s="26" t="s">
        <v>0</v>
      </c>
      <c r="B21" s="9">
        <f t="shared" si="0"/>
        <v>1120.950566080036</v>
      </c>
      <c r="C21" s="9">
        <f>B21/12</f>
        <v>93.412547173336336</v>
      </c>
      <c r="D21" s="8">
        <v>0.1079</v>
      </c>
      <c r="E21" s="104">
        <f>B21/$A$5</f>
        <v>1.1209505660800361</v>
      </c>
      <c r="F21" s="6">
        <f>C21/$A$5</f>
        <v>9.341254717333633E-2</v>
      </c>
      <c r="G21" s="38"/>
      <c r="H21" s="9">
        <f t="shared" si="7"/>
        <v>1233.0456226880397</v>
      </c>
      <c r="I21" s="9">
        <f>H21/12</f>
        <v>102.75380189066998</v>
      </c>
      <c r="J21" s="7">
        <f t="shared" si="2"/>
        <v>1.2330456226880397</v>
      </c>
      <c r="K21" s="6">
        <f t="shared" si="3"/>
        <v>0.10275380189066997</v>
      </c>
      <c r="L21" s="31"/>
      <c r="N21" s="48"/>
      <c r="O21" s="88" t="s">
        <v>0</v>
      </c>
      <c r="P21" s="9">
        <f>$O$5/12</f>
        <v>83.333333333333329</v>
      </c>
      <c r="Q21" s="9">
        <f>$O$5*(1-D21)</f>
        <v>892.1</v>
      </c>
      <c r="R21" s="52"/>
    </row>
    <row r="22" spans="1:20" hidden="1" x14ac:dyDescent="0.25">
      <c r="A22" s="25" t="s">
        <v>28</v>
      </c>
      <c r="B22" s="13">
        <f t="shared" si="0"/>
        <v>1173.8466956215518</v>
      </c>
      <c r="C22" s="13">
        <f>B22/13</f>
        <v>90.295899663196295</v>
      </c>
      <c r="D22" s="12">
        <v>0.14810000000000001</v>
      </c>
      <c r="E22" s="103">
        <f>B22/$A$5</f>
        <v>1.1738466956215519</v>
      </c>
      <c r="F22" s="10">
        <f>C22/$A$5</f>
        <v>9.0295899663196288E-2</v>
      </c>
      <c r="G22" s="38"/>
      <c r="H22" s="13">
        <f t="shared" si="7"/>
        <v>1291.2313651837071</v>
      </c>
      <c r="I22" s="13">
        <f>H22/13</f>
        <v>99.325489629515928</v>
      </c>
      <c r="J22" s="11">
        <f t="shared" si="2"/>
        <v>1.2912313651837071</v>
      </c>
      <c r="K22" s="10">
        <f t="shared" si="3"/>
        <v>9.9325489629515928E-2</v>
      </c>
      <c r="L22" s="31"/>
      <c r="N22" s="48"/>
      <c r="O22" s="87" t="str">
        <f>A22</f>
        <v>Crédito Parcelado 13x</v>
      </c>
      <c r="P22" s="13">
        <f>$O$5/13</f>
        <v>76.92307692307692</v>
      </c>
      <c r="Q22" s="13">
        <f t="shared" ref="Q22:Q30" si="8">$O$5*(1-D22)</f>
        <v>851.9</v>
      </c>
      <c r="R22" s="52"/>
    </row>
    <row r="23" spans="1:20" hidden="1" x14ac:dyDescent="0.25">
      <c r="A23" s="25" t="s">
        <v>29</v>
      </c>
      <c r="B23" s="13">
        <f t="shared" si="0"/>
        <v>1183.2919181161992</v>
      </c>
      <c r="C23" s="13">
        <f>B23/14</f>
        <v>84.520851294014236</v>
      </c>
      <c r="D23" s="12">
        <v>0.15490000000000001</v>
      </c>
      <c r="E23" s="103">
        <f t="shared" ref="E23:F30" si="9">B23/$A$5</f>
        <v>1.1832919181161992</v>
      </c>
      <c r="F23" s="10">
        <f t="shared" si="9"/>
        <v>8.4520851294014238E-2</v>
      </c>
      <c r="G23" s="38"/>
      <c r="H23" s="13">
        <f t="shared" si="7"/>
        <v>1301.6211099278191</v>
      </c>
      <c r="I23" s="13">
        <f>H23/14</f>
        <v>92.972936423415646</v>
      </c>
      <c r="J23" s="11">
        <f t="shared" si="2"/>
        <v>1.3016211099278192</v>
      </c>
      <c r="K23" s="10">
        <f t="shared" si="3"/>
        <v>9.2972936423415642E-2</v>
      </c>
      <c r="L23" s="31"/>
      <c r="N23" s="48"/>
      <c r="O23" s="87" t="str">
        <f t="shared" ref="O23:O30" si="10">A23</f>
        <v>Crédito Parcelado 14x</v>
      </c>
      <c r="P23" s="13">
        <f>$O$5/14</f>
        <v>71.428571428571431</v>
      </c>
      <c r="Q23" s="13">
        <f t="shared" si="8"/>
        <v>845.09999999999991</v>
      </c>
      <c r="R23" s="52"/>
      <c r="T23" s="21"/>
    </row>
    <row r="24" spans="1:20" hidden="1" x14ac:dyDescent="0.25">
      <c r="A24" s="25" t="s">
        <v>30</v>
      </c>
      <c r="B24" s="13">
        <f t="shared" si="0"/>
        <v>1192.8903733746868</v>
      </c>
      <c r="C24" s="13">
        <f>B24/15</f>
        <v>79.52602489164579</v>
      </c>
      <c r="D24" s="12">
        <v>0.16170000000000001</v>
      </c>
      <c r="E24" s="103">
        <f t="shared" si="9"/>
        <v>1.1928903733746867</v>
      </c>
      <c r="F24" s="10">
        <f t="shared" si="9"/>
        <v>7.9526024891645786E-2</v>
      </c>
      <c r="G24" s="38"/>
      <c r="H24" s="13">
        <f t="shared" si="7"/>
        <v>1312.1794107121557</v>
      </c>
      <c r="I24" s="13">
        <f>H24/15</f>
        <v>87.47862738081038</v>
      </c>
      <c r="J24" s="11">
        <f t="shared" si="2"/>
        <v>1.3121794107121556</v>
      </c>
      <c r="K24" s="10">
        <f t="shared" si="3"/>
        <v>8.7478627380810386E-2</v>
      </c>
      <c r="L24" s="31"/>
      <c r="N24" s="48"/>
      <c r="O24" s="87" t="str">
        <f t="shared" si="10"/>
        <v>Crédito Parcelado 15x</v>
      </c>
      <c r="P24" s="13">
        <f>$O$5/15</f>
        <v>66.666666666666671</v>
      </c>
      <c r="Q24" s="13">
        <f t="shared" si="8"/>
        <v>838.30000000000007</v>
      </c>
      <c r="R24" s="52"/>
      <c r="T24" s="21"/>
    </row>
    <row r="25" spans="1:20" hidden="1" x14ac:dyDescent="0.25">
      <c r="A25" s="25" t="s">
        <v>31</v>
      </c>
      <c r="B25" s="13">
        <f t="shared" si="0"/>
        <v>1202.6458208057727</v>
      </c>
      <c r="C25" s="13">
        <f>B25/16</f>
        <v>75.165363800360794</v>
      </c>
      <c r="D25" s="12">
        <v>0.16850000000000001</v>
      </c>
      <c r="E25" s="103">
        <f t="shared" si="9"/>
        <v>1.2026458208057726</v>
      </c>
      <c r="F25" s="10">
        <f t="shared" si="9"/>
        <v>7.516536380036079E-2</v>
      </c>
      <c r="G25" s="38"/>
      <c r="H25" s="13">
        <f t="shared" si="7"/>
        <v>1322.9104028863501</v>
      </c>
      <c r="I25" s="13">
        <f>H25/16</f>
        <v>82.68190018039688</v>
      </c>
      <c r="J25" s="11">
        <f t="shared" si="2"/>
        <v>1.3229104028863501</v>
      </c>
      <c r="K25" s="10">
        <f t="shared" si="3"/>
        <v>8.2681900180396881E-2</v>
      </c>
      <c r="L25" s="31"/>
      <c r="N25" s="48"/>
      <c r="O25" s="87" t="str">
        <f t="shared" si="10"/>
        <v>Crédito Parcelado 16x</v>
      </c>
      <c r="P25" s="13">
        <f>$O$5/16</f>
        <v>62.5</v>
      </c>
      <c r="Q25" s="13">
        <f t="shared" si="8"/>
        <v>831.5</v>
      </c>
      <c r="R25" s="52"/>
      <c r="S25" s="21"/>
      <c r="T25" s="21"/>
    </row>
    <row r="26" spans="1:20" hidden="1" x14ac:dyDescent="0.25">
      <c r="A26" s="25" t="s">
        <v>32</v>
      </c>
      <c r="B26" s="13">
        <f t="shared" si="0"/>
        <v>1212.7091923356779</v>
      </c>
      <c r="C26" s="13">
        <f>B26/17</f>
        <v>71.335834843275165</v>
      </c>
      <c r="D26" s="12">
        <v>0.1754</v>
      </c>
      <c r="E26" s="103">
        <f t="shared" si="9"/>
        <v>1.2127091923356779</v>
      </c>
      <c r="F26" s="10">
        <f t="shared" si="9"/>
        <v>7.1335834843275159E-2</v>
      </c>
      <c r="G26" s="38"/>
      <c r="H26" s="13">
        <f t="shared" si="7"/>
        <v>1333.9801115692458</v>
      </c>
      <c r="I26" s="13">
        <f>H26/17</f>
        <v>78.469418327602696</v>
      </c>
      <c r="J26" s="11">
        <f t="shared" si="2"/>
        <v>1.3339801115692458</v>
      </c>
      <c r="K26" s="10">
        <f t="shared" si="3"/>
        <v>7.8469418327602694E-2</v>
      </c>
      <c r="L26" s="31"/>
      <c r="N26" s="48"/>
      <c r="O26" s="87" t="str">
        <f t="shared" si="10"/>
        <v>Crédito Parcelado 17x</v>
      </c>
      <c r="P26" s="13">
        <f>$O$5/17</f>
        <v>58.823529411764703</v>
      </c>
      <c r="Q26" s="13">
        <f t="shared" si="8"/>
        <v>824.6</v>
      </c>
      <c r="R26" s="52"/>
      <c r="S26" s="21"/>
    </row>
    <row r="27" spans="1:20" hidden="1" x14ac:dyDescent="0.25">
      <c r="A27" s="25" t="s">
        <v>33</v>
      </c>
      <c r="B27" s="13">
        <f t="shared" si="0"/>
        <v>1222.7928588897041</v>
      </c>
      <c r="C27" s="13">
        <f>B27/18</f>
        <v>67.932936604983567</v>
      </c>
      <c r="D27" s="12">
        <v>0.1822</v>
      </c>
      <c r="E27" s="103">
        <f t="shared" si="9"/>
        <v>1.2227928588897041</v>
      </c>
      <c r="F27" s="10">
        <f t="shared" si="9"/>
        <v>6.7932936604983563E-2</v>
      </c>
      <c r="G27" s="38"/>
      <c r="H27" s="13">
        <f t="shared" si="7"/>
        <v>1345.0721447786746</v>
      </c>
      <c r="I27" s="13">
        <f>H27/18</f>
        <v>74.726230265481917</v>
      </c>
      <c r="J27" s="11">
        <f t="shared" si="2"/>
        <v>1.3450721447786746</v>
      </c>
      <c r="K27" s="10">
        <f t="shared" si="3"/>
        <v>7.4726230265481919E-2</v>
      </c>
      <c r="L27" s="31"/>
      <c r="N27" s="48"/>
      <c r="O27" s="87" t="str">
        <f t="shared" si="10"/>
        <v>Crédito Parcelado 18x</v>
      </c>
      <c r="P27" s="13">
        <f>$O$5/18</f>
        <v>55.555555555555557</v>
      </c>
      <c r="Q27" s="13">
        <f t="shared" si="8"/>
        <v>817.8</v>
      </c>
      <c r="R27" s="52"/>
    </row>
    <row r="28" spans="1:20" hidden="1" x14ac:dyDescent="0.25">
      <c r="A28" s="25" t="s">
        <v>36</v>
      </c>
      <c r="B28" s="13">
        <f t="shared" si="0"/>
        <v>1233.0456226880397</v>
      </c>
      <c r="C28" s="13">
        <f>B28/19</f>
        <v>64.89713803621261</v>
      </c>
      <c r="D28" s="12">
        <v>0.189</v>
      </c>
      <c r="E28" s="103">
        <f t="shared" si="9"/>
        <v>1.2330456226880397</v>
      </c>
      <c r="F28" s="10">
        <f t="shared" si="9"/>
        <v>6.4897138036212609E-2</v>
      </c>
      <c r="G28" s="38"/>
      <c r="H28" s="13">
        <f t="shared" si="7"/>
        <v>1356.3501849568438</v>
      </c>
      <c r="I28" s="13">
        <f>H28/19</f>
        <v>71.386851839833881</v>
      </c>
      <c r="J28" s="11">
        <f t="shared" si="2"/>
        <v>1.3563501849568438</v>
      </c>
      <c r="K28" s="10">
        <f t="shared" si="3"/>
        <v>7.1386851839833884E-2</v>
      </c>
      <c r="L28" s="31"/>
      <c r="N28" s="48"/>
      <c r="O28" s="87" t="str">
        <f t="shared" si="10"/>
        <v>Crédito Parcelado 19</v>
      </c>
      <c r="P28" s="13">
        <f>$O$5/19</f>
        <v>52.631578947368418</v>
      </c>
      <c r="Q28" s="13">
        <f t="shared" si="8"/>
        <v>811</v>
      </c>
      <c r="R28" s="52"/>
    </row>
    <row r="29" spans="1:20" hidden="1" x14ac:dyDescent="0.25">
      <c r="A29" s="25" t="s">
        <v>37</v>
      </c>
      <c r="B29" s="13">
        <f t="shared" si="0"/>
        <v>1243.4717731907485</v>
      </c>
      <c r="C29" s="13">
        <f>B29/20</f>
        <v>62.17358865953743</v>
      </c>
      <c r="D29" s="12">
        <v>0.1958</v>
      </c>
      <c r="E29" s="103">
        <f t="shared" si="9"/>
        <v>1.2434717731907485</v>
      </c>
      <c r="F29" s="10">
        <f t="shared" si="9"/>
        <v>6.2173588659537427E-2</v>
      </c>
      <c r="G29" s="38"/>
      <c r="H29" s="13">
        <f t="shared" si="7"/>
        <v>1367.8189505098235</v>
      </c>
      <c r="I29" s="13">
        <f>H29/20</f>
        <v>68.390947525491171</v>
      </c>
      <c r="J29" s="11">
        <f t="shared" si="2"/>
        <v>1.3678189505098235</v>
      </c>
      <c r="K29" s="10">
        <f t="shared" si="3"/>
        <v>6.8390947525491172E-2</v>
      </c>
      <c r="L29" s="31"/>
      <c r="N29" s="48"/>
      <c r="O29" s="87" t="str">
        <f t="shared" si="10"/>
        <v>Crédito Parcelado 20x</v>
      </c>
      <c r="P29" s="13">
        <f>$O$5/20</f>
        <v>50</v>
      </c>
      <c r="Q29" s="13">
        <f t="shared" si="8"/>
        <v>804.2</v>
      </c>
      <c r="R29" s="52"/>
    </row>
    <row r="30" spans="1:20" hidden="1" x14ac:dyDescent="0.25">
      <c r="A30" s="25" t="s">
        <v>38</v>
      </c>
      <c r="B30" s="13">
        <f t="shared" si="0"/>
        <v>1254.0757461750691</v>
      </c>
      <c r="C30" s="13">
        <f>B30/21</f>
        <v>59.717892675003291</v>
      </c>
      <c r="D30" s="12">
        <v>0.2026</v>
      </c>
      <c r="E30" s="103">
        <f t="shared" si="9"/>
        <v>1.2540757461750691</v>
      </c>
      <c r="F30" s="10">
        <f t="shared" si="9"/>
        <v>5.9717892675003291E-2</v>
      </c>
      <c r="G30" s="38"/>
      <c r="H30" s="13">
        <f t="shared" si="7"/>
        <v>1379.483320792576</v>
      </c>
      <c r="I30" s="13">
        <f>H30/21</f>
        <v>65.689681942503626</v>
      </c>
      <c r="J30" s="11">
        <f t="shared" si="2"/>
        <v>1.3794833207925761</v>
      </c>
      <c r="K30" s="10">
        <f t="shared" si="3"/>
        <v>6.568968194250363E-2</v>
      </c>
      <c r="L30" s="31"/>
      <c r="N30" s="48"/>
      <c r="O30" s="87" t="str">
        <f t="shared" si="10"/>
        <v>Crédito Parcelado 21x</v>
      </c>
      <c r="P30" s="13">
        <f>$O$5/21</f>
        <v>47.61904761904762</v>
      </c>
      <c r="Q30" s="13">
        <f t="shared" si="8"/>
        <v>797.4</v>
      </c>
      <c r="R30" s="52"/>
    </row>
    <row r="31" spans="1:20" hidden="1" x14ac:dyDescent="0.25">
      <c r="A31" s="105"/>
      <c r="B31" s="78"/>
      <c r="C31" s="78"/>
      <c r="D31" s="106"/>
      <c r="E31" s="107"/>
      <c r="F31" s="108"/>
      <c r="G31" s="38"/>
      <c r="H31" s="109"/>
      <c r="I31" s="78"/>
      <c r="J31" s="110"/>
      <c r="K31" s="111"/>
      <c r="L31" s="31"/>
      <c r="N31" s="48"/>
      <c r="O31" s="78"/>
      <c r="P31" s="78"/>
      <c r="Q31" s="78"/>
      <c r="R31" s="52"/>
    </row>
    <row r="32" spans="1:20" hidden="1" x14ac:dyDescent="0.25">
      <c r="A32" s="62" t="s">
        <v>25</v>
      </c>
      <c r="B32" s="62">
        <f t="shared" si="0"/>
        <v>1009.99899000101</v>
      </c>
      <c r="C32" s="62">
        <f>B32</f>
        <v>1009.99899000101</v>
      </c>
      <c r="D32" s="63">
        <v>9.9000000000000008E-3</v>
      </c>
      <c r="E32" s="64">
        <f>C32/A5</f>
        <v>1.00999899000101</v>
      </c>
      <c r="F32" s="65">
        <f>C32/A5</f>
        <v>1.00999899000101</v>
      </c>
      <c r="G32" s="70"/>
      <c r="H32" s="62">
        <v>111.56615366654692</v>
      </c>
      <c r="I32" s="62">
        <v>111.56615366654692</v>
      </c>
      <c r="J32" s="64">
        <f t="shared" si="2"/>
        <v>1.1109988890011111</v>
      </c>
      <c r="K32" s="65">
        <v>1.1156615366654692</v>
      </c>
      <c r="L32" s="31"/>
      <c r="N32" s="48"/>
      <c r="O32" s="89" t="str">
        <f>A32</f>
        <v>Débito (Visa/Master)</v>
      </c>
      <c r="P32" s="77">
        <f>O5</f>
        <v>1000</v>
      </c>
      <c r="Q32" s="77">
        <f t="shared" ref="Q32" si="11">$O$5*(1-D32)</f>
        <v>990.1</v>
      </c>
      <c r="R32" s="52"/>
      <c r="S32" s="21"/>
    </row>
    <row r="33" spans="1:19" hidden="1" x14ac:dyDescent="0.25">
      <c r="A33" s="79"/>
      <c r="B33" s="79"/>
      <c r="C33" s="79"/>
      <c r="D33" s="79"/>
      <c r="E33" s="79"/>
      <c r="F33" s="80"/>
      <c r="G33" s="71"/>
      <c r="H33" s="81"/>
      <c r="I33" s="79"/>
      <c r="J33" s="79"/>
      <c r="K33" s="82"/>
      <c r="L33" s="31"/>
      <c r="N33" s="48"/>
      <c r="O33" s="78"/>
      <c r="P33" s="78"/>
      <c r="Q33" s="78"/>
      <c r="R33" s="52"/>
      <c r="S33" s="21"/>
    </row>
    <row r="34" spans="1:19" hidden="1" x14ac:dyDescent="0.25">
      <c r="A34" s="66" t="s">
        <v>26</v>
      </c>
      <c r="B34" s="66">
        <f t="shared" si="0"/>
        <v>1009.99899000101</v>
      </c>
      <c r="C34" s="66">
        <f>B34</f>
        <v>1009.99899000101</v>
      </c>
      <c r="D34" s="67">
        <v>9.9000000000000008E-3</v>
      </c>
      <c r="E34" s="68">
        <f>C34/A5</f>
        <v>1.00999899000101</v>
      </c>
      <c r="F34" s="69">
        <f>C34/A5</f>
        <v>1.00999899000101</v>
      </c>
      <c r="G34" s="70"/>
      <c r="H34" s="66">
        <v>108.59543079602503</v>
      </c>
      <c r="I34" s="66">
        <v>108.59543079602503</v>
      </c>
      <c r="J34" s="68">
        <f t="shared" si="2"/>
        <v>1.1109988890011111</v>
      </c>
      <c r="K34" s="69">
        <v>1.0859543079602503</v>
      </c>
      <c r="L34" s="31"/>
      <c r="N34" s="48"/>
      <c r="O34" s="90" t="str">
        <f>A34</f>
        <v>Débito (Elo, Hiper e Amex)</v>
      </c>
      <c r="P34" s="66">
        <f>O5</f>
        <v>1000</v>
      </c>
      <c r="Q34" s="66">
        <f t="shared" ref="Q34" si="12">$O$5*(1-D34)</f>
        <v>990.1</v>
      </c>
      <c r="R34" s="52"/>
      <c r="S34" s="21"/>
    </row>
    <row r="35" spans="1:19" x14ac:dyDescent="0.25">
      <c r="A35" s="57"/>
      <c r="B35" s="58"/>
      <c r="C35" s="58"/>
      <c r="D35" s="59"/>
      <c r="E35" s="60"/>
      <c r="F35" s="61"/>
      <c r="G35" s="38"/>
      <c r="H35" s="73"/>
      <c r="I35" s="74"/>
      <c r="J35" s="75"/>
      <c r="K35" s="76"/>
      <c r="L35" s="31"/>
      <c r="N35" s="48"/>
      <c r="O35" s="78"/>
      <c r="P35" s="78"/>
      <c r="Q35" s="78"/>
      <c r="R35" s="52"/>
      <c r="S35" s="21"/>
    </row>
    <row r="36" spans="1:19" ht="16.5" thickBot="1" x14ac:dyDescent="0.3">
      <c r="A36" s="27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9"/>
      <c r="N36" s="54"/>
      <c r="O36" s="55"/>
      <c r="P36" s="55"/>
      <c r="Q36" s="55"/>
      <c r="R36" s="56"/>
    </row>
    <row r="38" spans="1:19" x14ac:dyDescent="0.25">
      <c r="O38" s="21"/>
    </row>
  </sheetData>
  <mergeCells count="16">
    <mergeCell ref="Q7:Q8"/>
    <mergeCell ref="C5:E5"/>
    <mergeCell ref="H5:J5"/>
    <mergeCell ref="O5:P5"/>
    <mergeCell ref="B7:F7"/>
    <mergeCell ref="H7:J7"/>
    <mergeCell ref="O7:O8"/>
    <mergeCell ref="P7:P8"/>
    <mergeCell ref="C4:E4"/>
    <mergeCell ref="H4:J4"/>
    <mergeCell ref="O4:P4"/>
    <mergeCell ref="A1:L1"/>
    <mergeCell ref="N1:R1"/>
    <mergeCell ref="C3:E3"/>
    <mergeCell ref="H3:J3"/>
    <mergeCell ref="O3:P3"/>
  </mergeCells>
  <pageMargins left="0.7" right="0.98" top="0.75" bottom="0.75" header="0.49" footer="0.3"/>
  <pageSetup paperSize="9" scale="6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98F8-8C6B-4860-810A-6256510AD8B8}">
  <sheetPr>
    <tabColor theme="3"/>
    <pageSetUpPr fitToPage="1"/>
  </sheetPr>
  <dimension ref="A1:T38"/>
  <sheetViews>
    <sheetView showGridLines="0" topLeftCell="A7" zoomScale="110" zoomScaleNormal="110" workbookViewId="0">
      <selection activeCell="A5" sqref="A5"/>
    </sheetView>
  </sheetViews>
  <sheetFormatPr defaultColWidth="11" defaultRowHeight="15.75" x14ac:dyDescent="0.25"/>
  <cols>
    <col min="1" max="1" width="24.5" style="1" bestFit="1" customWidth="1"/>
    <col min="2" max="3" width="10.625" style="1" bestFit="1" customWidth="1"/>
    <col min="4" max="4" width="7" style="1" bestFit="1" customWidth="1"/>
    <col min="5" max="5" width="10.125" style="1" bestFit="1" customWidth="1"/>
    <col min="6" max="6" width="10.75" style="1" bestFit="1" customWidth="1"/>
    <col min="7" max="7" width="3.625" style="1" customWidth="1"/>
    <col min="8" max="9" width="12.625" style="1" bestFit="1" customWidth="1"/>
    <col min="10" max="10" width="8.25" style="1" bestFit="1" customWidth="1"/>
    <col min="11" max="11" width="10.75" style="1" customWidth="1"/>
    <col min="12" max="12" width="2.25" style="1" customWidth="1"/>
    <col min="13" max="13" width="4" style="1" customWidth="1"/>
    <col min="14" max="14" width="2.375" style="1" hidden="1" customWidth="1"/>
    <col min="15" max="15" width="25.625" style="1" hidden="1" customWidth="1"/>
    <col min="16" max="16" width="12" style="1" hidden="1" customWidth="1"/>
    <col min="17" max="17" width="16.5" style="1" hidden="1" customWidth="1"/>
    <col min="18" max="18" width="2.5" style="1" hidden="1" customWidth="1"/>
    <col min="19" max="16384" width="11" style="1"/>
  </cols>
  <sheetData>
    <row r="1" spans="1:20" s="84" customFormat="1" ht="26.1" customHeight="1" x14ac:dyDescent="0.5">
      <c r="A1" s="188" t="s">
        <v>23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83"/>
      <c r="N1" s="189" t="s">
        <v>22</v>
      </c>
      <c r="O1" s="189"/>
      <c r="P1" s="189"/>
      <c r="Q1" s="189"/>
      <c r="R1" s="189"/>
    </row>
    <row r="2" spans="1:20" ht="12" customHeight="1" thickBot="1" x14ac:dyDescent="0.3"/>
    <row r="3" spans="1:20" ht="12" customHeight="1" x14ac:dyDescent="0.25">
      <c r="A3" s="42"/>
      <c r="B3" s="39"/>
      <c r="C3" s="190"/>
      <c r="D3" s="190"/>
      <c r="E3" s="190"/>
      <c r="F3" s="39"/>
      <c r="G3" s="39"/>
      <c r="H3" s="190"/>
      <c r="I3" s="190"/>
      <c r="J3" s="190"/>
      <c r="K3" s="39"/>
      <c r="L3" s="30"/>
      <c r="N3" s="45"/>
      <c r="O3" s="191"/>
      <c r="P3" s="191"/>
      <c r="Q3" s="46"/>
      <c r="R3" s="47"/>
    </row>
    <row r="4" spans="1:20" ht="18.75" x14ac:dyDescent="0.25">
      <c r="A4" s="43" t="s">
        <v>20</v>
      </c>
      <c r="B4" s="41"/>
      <c r="C4" s="180" t="s">
        <v>27</v>
      </c>
      <c r="D4" s="181"/>
      <c r="E4" s="182"/>
      <c r="F4" s="41"/>
      <c r="G4" s="41"/>
      <c r="H4" s="183" t="s">
        <v>19</v>
      </c>
      <c r="I4" s="184"/>
      <c r="J4" s="185"/>
      <c r="K4" s="41"/>
      <c r="L4" s="31"/>
      <c r="N4" s="48"/>
      <c r="O4" s="186" t="s">
        <v>24</v>
      </c>
      <c r="P4" s="187"/>
      <c r="Q4" s="22"/>
      <c r="R4" s="49"/>
    </row>
    <row r="5" spans="1:20" ht="21.75" customHeight="1" x14ac:dyDescent="0.25">
      <c r="A5" s="44">
        <v>1000</v>
      </c>
      <c r="B5" s="40"/>
      <c r="C5" s="194">
        <f>A5*(1+$K$7)</f>
        <v>1150</v>
      </c>
      <c r="D5" s="195"/>
      <c r="E5" s="196"/>
      <c r="F5" s="40"/>
      <c r="G5" s="40"/>
      <c r="H5" s="197">
        <f>IFERROR((C5-(A5)),0)</f>
        <v>150</v>
      </c>
      <c r="I5" s="198"/>
      <c r="J5" s="199"/>
      <c r="K5" s="40"/>
      <c r="L5" s="31"/>
      <c r="N5" s="48"/>
      <c r="O5" s="200">
        <f>A5</f>
        <v>1000</v>
      </c>
      <c r="P5" s="201"/>
      <c r="Q5" s="22"/>
      <c r="R5" s="49"/>
    </row>
    <row r="6" spans="1:20" ht="12.75" customHeight="1" x14ac:dyDescent="0.25">
      <c r="A6" s="34"/>
      <c r="B6" s="35"/>
      <c r="C6" s="35"/>
      <c r="D6" s="35"/>
      <c r="E6" s="35"/>
      <c r="F6" s="35"/>
      <c r="G6" s="35"/>
      <c r="H6" s="35"/>
      <c r="I6" s="35"/>
      <c r="J6" s="35"/>
      <c r="K6" s="35"/>
      <c r="L6" s="31"/>
      <c r="N6" s="48"/>
      <c r="O6" s="22"/>
      <c r="P6" s="22"/>
      <c r="Q6" s="22"/>
      <c r="R6" s="49"/>
    </row>
    <row r="7" spans="1:20" s="19" customFormat="1" ht="23.25" customHeight="1" x14ac:dyDescent="0.25">
      <c r="A7" s="112" t="s">
        <v>17</v>
      </c>
      <c r="B7" s="202" t="s">
        <v>39</v>
      </c>
      <c r="C7" s="203"/>
      <c r="D7" s="203"/>
      <c r="E7" s="203"/>
      <c r="F7" s="204"/>
      <c r="G7" s="36"/>
      <c r="H7" s="205" t="s">
        <v>18</v>
      </c>
      <c r="I7" s="206"/>
      <c r="J7" s="206"/>
      <c r="K7" s="20">
        <v>0.15</v>
      </c>
      <c r="L7" s="32"/>
      <c r="N7" s="50"/>
      <c r="O7" s="207" t="s">
        <v>17</v>
      </c>
      <c r="P7" s="209" t="s">
        <v>15</v>
      </c>
      <c r="Q7" s="192" t="s">
        <v>21</v>
      </c>
      <c r="R7" s="51"/>
      <c r="T7" s="99"/>
    </row>
    <row r="8" spans="1:20" x14ac:dyDescent="0.25">
      <c r="A8" s="113"/>
      <c r="B8" s="18" t="s">
        <v>16</v>
      </c>
      <c r="C8" s="18" t="s">
        <v>15</v>
      </c>
      <c r="D8" s="18" t="s">
        <v>14</v>
      </c>
      <c r="E8" s="18" t="s">
        <v>13</v>
      </c>
      <c r="F8" s="18" t="s">
        <v>12</v>
      </c>
      <c r="G8" s="37"/>
      <c r="H8" s="72" t="s">
        <v>16</v>
      </c>
      <c r="I8" s="72" t="s">
        <v>15</v>
      </c>
      <c r="J8" s="72" t="s">
        <v>13</v>
      </c>
      <c r="K8" s="72" t="s">
        <v>12</v>
      </c>
      <c r="L8" s="31"/>
      <c r="N8" s="48"/>
      <c r="O8" s="208"/>
      <c r="P8" s="209"/>
      <c r="Q8" s="193"/>
      <c r="R8" s="49"/>
      <c r="T8" s="100"/>
    </row>
    <row r="9" spans="1:20" x14ac:dyDescent="0.25">
      <c r="A9" s="23" t="s">
        <v>11</v>
      </c>
      <c r="B9" s="17">
        <f>($A$5)/(1-D9)</f>
        <v>1032.2047894302229</v>
      </c>
      <c r="C9" s="17">
        <f>B9</f>
        <v>1032.2047894302229</v>
      </c>
      <c r="D9" s="16">
        <v>3.1199999999999999E-2</v>
      </c>
      <c r="E9" s="101">
        <f>B9/$A$5</f>
        <v>1.0322047894302229</v>
      </c>
      <c r="F9" s="14">
        <f>C9/A5</f>
        <v>1.0322047894302229</v>
      </c>
      <c r="G9" s="38"/>
      <c r="H9" s="17">
        <f>$A$5*J9</f>
        <v>1187.0355078447562</v>
      </c>
      <c r="I9" s="17">
        <f>H9</f>
        <v>1187.0355078447562</v>
      </c>
      <c r="J9" s="15">
        <f>E9*(1+$K$7)</f>
        <v>1.1870355078447563</v>
      </c>
      <c r="K9" s="14">
        <f>I9/$A$5</f>
        <v>1.1870355078447563</v>
      </c>
      <c r="L9" s="31"/>
      <c r="N9" s="48"/>
      <c r="O9" s="85" t="s">
        <v>11</v>
      </c>
      <c r="P9" s="17">
        <f>$O$5</f>
        <v>1000</v>
      </c>
      <c r="Q9" s="17">
        <f>$O$5*(1-D9)</f>
        <v>968.8</v>
      </c>
      <c r="R9" s="52"/>
      <c r="T9" s="21"/>
    </row>
    <row r="10" spans="1:20" ht="12.75" customHeight="1" x14ac:dyDescent="0.25">
      <c r="A10" s="24"/>
      <c r="B10" s="4"/>
      <c r="C10" s="4"/>
      <c r="D10" s="3"/>
      <c r="E10" s="102"/>
      <c r="F10" s="2"/>
      <c r="G10" s="38"/>
      <c r="H10" s="4"/>
      <c r="I10" s="4"/>
      <c r="J10" s="5"/>
      <c r="K10" s="2"/>
      <c r="L10" s="31"/>
      <c r="N10" s="48"/>
      <c r="O10" s="86"/>
      <c r="P10" s="4"/>
      <c r="Q10" s="4"/>
      <c r="R10" s="49"/>
    </row>
    <row r="11" spans="1:20" x14ac:dyDescent="0.25">
      <c r="A11" s="25" t="s">
        <v>10</v>
      </c>
      <c r="B11" s="13">
        <f t="shared" ref="B11:B34" si="0">$A$5/(1-D11)</f>
        <v>1044.0593025683859</v>
      </c>
      <c r="C11" s="13">
        <f>B11/2</f>
        <v>522.02965128419294</v>
      </c>
      <c r="D11" s="12">
        <v>4.2200000000000001E-2</v>
      </c>
      <c r="E11" s="103">
        <f>B11/$A$5</f>
        <v>1.044059302568386</v>
      </c>
      <c r="F11" s="10">
        <f t="shared" ref="F11:F20" si="1">C11/$A$5</f>
        <v>0.52202965128419299</v>
      </c>
      <c r="G11" s="38"/>
      <c r="H11" s="13">
        <f>$A$5*J11</f>
        <v>1200.6681979536438</v>
      </c>
      <c r="I11" s="13">
        <f>H11/2</f>
        <v>600.33409897682191</v>
      </c>
      <c r="J11" s="11">
        <f t="shared" ref="J11:J34" si="2">E11*(1+$K$7)</f>
        <v>1.2006681979536438</v>
      </c>
      <c r="K11" s="10">
        <f t="shared" ref="K11:K30" si="3">I11/$A$5</f>
        <v>0.60033409897682188</v>
      </c>
      <c r="L11" s="31"/>
      <c r="N11" s="48"/>
      <c r="O11" s="87" t="s">
        <v>10</v>
      </c>
      <c r="P11" s="13">
        <f>$O$5/2</f>
        <v>500</v>
      </c>
      <c r="Q11" s="13">
        <f t="shared" ref="Q11:Q20" si="4">$O$5*(1-D11)</f>
        <v>957.8</v>
      </c>
      <c r="R11" s="52"/>
    </row>
    <row r="12" spans="1:20" x14ac:dyDescent="0.25">
      <c r="A12" s="25" t="s">
        <v>9</v>
      </c>
      <c r="B12" s="13">
        <f t="shared" si="0"/>
        <v>1050.7512871703268</v>
      </c>
      <c r="C12" s="13">
        <f>B12/3</f>
        <v>350.2504290567756</v>
      </c>
      <c r="D12" s="12">
        <v>4.8300000000000003E-2</v>
      </c>
      <c r="E12" s="103">
        <f>B12/$A$5</f>
        <v>1.0507512871703268</v>
      </c>
      <c r="F12" s="10">
        <f t="shared" si="1"/>
        <v>0.35025042905677561</v>
      </c>
      <c r="G12" s="38"/>
      <c r="H12" s="13">
        <f t="shared" ref="H12:H15" si="5">$A$5*J12</f>
        <v>1208.3639802458758</v>
      </c>
      <c r="I12" s="13">
        <f>H12/3</f>
        <v>402.78799341529196</v>
      </c>
      <c r="J12" s="11">
        <f t="shared" si="2"/>
        <v>1.2083639802458759</v>
      </c>
      <c r="K12" s="10">
        <f t="shared" si="3"/>
        <v>0.40278799341529198</v>
      </c>
      <c r="L12" s="31"/>
      <c r="N12" s="48"/>
      <c r="O12" s="87" t="s">
        <v>9</v>
      </c>
      <c r="P12" s="13">
        <f>$O$5/3</f>
        <v>333.33333333333331</v>
      </c>
      <c r="Q12" s="13">
        <f t="shared" si="4"/>
        <v>951.7</v>
      </c>
      <c r="R12" s="52"/>
      <c r="T12" s="100"/>
    </row>
    <row r="13" spans="1:20" x14ac:dyDescent="0.25">
      <c r="A13" s="25" t="s">
        <v>8</v>
      </c>
      <c r="B13" s="13">
        <f>$A$5/(1-D13)</f>
        <v>1057.5296108291031</v>
      </c>
      <c r="C13" s="13">
        <f>B13/4</f>
        <v>264.38240270727579</v>
      </c>
      <c r="D13" s="12">
        <v>5.4399999999999997E-2</v>
      </c>
      <c r="E13" s="103">
        <f>B13/$A$5</f>
        <v>1.0575296108291032</v>
      </c>
      <c r="F13" s="10">
        <f t="shared" si="1"/>
        <v>0.26438240270727581</v>
      </c>
      <c r="G13" s="38"/>
      <c r="H13" s="13">
        <f t="shared" si="5"/>
        <v>1216.1590524534686</v>
      </c>
      <c r="I13" s="13">
        <f>H13/4</f>
        <v>304.03976311336714</v>
      </c>
      <c r="J13" s="11">
        <f t="shared" si="2"/>
        <v>1.2161590524534687</v>
      </c>
      <c r="K13" s="10">
        <f t="shared" si="3"/>
        <v>0.30403976311336717</v>
      </c>
      <c r="L13" s="31"/>
      <c r="N13" s="48"/>
      <c r="O13" s="87" t="s">
        <v>8</v>
      </c>
      <c r="P13" s="13">
        <f>$O$5/4</f>
        <v>250</v>
      </c>
      <c r="Q13" s="13">
        <f t="shared" si="4"/>
        <v>945.6</v>
      </c>
      <c r="R13" s="52"/>
    </row>
    <row r="14" spans="1:20" x14ac:dyDescent="0.25">
      <c r="A14" s="25" t="s">
        <v>7</v>
      </c>
      <c r="B14" s="13">
        <f t="shared" si="0"/>
        <v>1064.39595529537</v>
      </c>
      <c r="C14" s="13">
        <f>B14/5</f>
        <v>212.879191059074</v>
      </c>
      <c r="D14" s="12">
        <v>6.0499999999999998E-2</v>
      </c>
      <c r="E14" s="103">
        <f>B14/$A$5</f>
        <v>1.0643959552953699</v>
      </c>
      <c r="F14" s="10">
        <f t="shared" si="1"/>
        <v>0.21287919105907399</v>
      </c>
      <c r="G14" s="38"/>
      <c r="H14" s="13">
        <f t="shared" si="5"/>
        <v>1224.0553485896753</v>
      </c>
      <c r="I14" s="13">
        <f>H14/5</f>
        <v>244.81106971793506</v>
      </c>
      <c r="J14" s="11">
        <f t="shared" si="2"/>
        <v>1.2240553485896752</v>
      </c>
      <c r="K14" s="10">
        <f t="shared" si="3"/>
        <v>0.24481106971793506</v>
      </c>
      <c r="L14" s="31"/>
      <c r="N14" s="48"/>
      <c r="O14" s="87" t="s">
        <v>7</v>
      </c>
      <c r="P14" s="13">
        <f>$O$5/5</f>
        <v>200</v>
      </c>
      <c r="Q14" s="13">
        <f t="shared" si="4"/>
        <v>939.5</v>
      </c>
      <c r="R14" s="52"/>
    </row>
    <row r="15" spans="1:20" x14ac:dyDescent="0.25">
      <c r="A15" s="25" t="s">
        <v>6</v>
      </c>
      <c r="B15" s="13">
        <f>$A$5/(1-D15)</f>
        <v>1071.1225364181662</v>
      </c>
      <c r="C15" s="13">
        <f>B15/6</f>
        <v>178.52042273636104</v>
      </c>
      <c r="D15" s="12">
        <v>6.6400000000000001E-2</v>
      </c>
      <c r="E15" s="103">
        <f t="shared" ref="E15:E20" si="6">B15/$A$5</f>
        <v>1.0711225364181662</v>
      </c>
      <c r="F15" s="10">
        <f t="shared" si="1"/>
        <v>0.17852042273636104</v>
      </c>
      <c r="G15" s="38"/>
      <c r="H15" s="13">
        <f t="shared" si="5"/>
        <v>1231.7909168808912</v>
      </c>
      <c r="I15" s="13">
        <f>H15/6</f>
        <v>205.29848614681521</v>
      </c>
      <c r="J15" s="11">
        <f t="shared" si="2"/>
        <v>1.2317909168808912</v>
      </c>
      <c r="K15" s="10">
        <f t="shared" si="3"/>
        <v>0.2052984861468152</v>
      </c>
      <c r="L15" s="31"/>
      <c r="N15" s="48"/>
      <c r="O15" s="87" t="s">
        <v>6</v>
      </c>
      <c r="P15" s="13">
        <f>$O$5/6</f>
        <v>166.66666666666666</v>
      </c>
      <c r="Q15" s="13">
        <f t="shared" si="4"/>
        <v>933.6</v>
      </c>
      <c r="R15" s="52"/>
    </row>
    <row r="16" spans="1:20" x14ac:dyDescent="0.25">
      <c r="A16" s="26" t="s">
        <v>5</v>
      </c>
      <c r="B16" s="9">
        <f t="shared" si="0"/>
        <v>1078.0508840017249</v>
      </c>
      <c r="C16" s="9">
        <f>B16/7</f>
        <v>154.00726914310354</v>
      </c>
      <c r="D16" s="8">
        <v>7.2400000000000006E-2</v>
      </c>
      <c r="E16" s="104">
        <f t="shared" si="6"/>
        <v>1.0780508840017249</v>
      </c>
      <c r="F16" s="6">
        <f t="shared" si="1"/>
        <v>0.15400726914310353</v>
      </c>
      <c r="G16" s="38"/>
      <c r="H16" s="9">
        <f>$A$5*J16</f>
        <v>1239.7585166019835</v>
      </c>
      <c r="I16" s="9">
        <f>H16/7</f>
        <v>177.10835951456906</v>
      </c>
      <c r="J16" s="7">
        <f t="shared" si="2"/>
        <v>1.2397585166019836</v>
      </c>
      <c r="K16" s="6">
        <f t="shared" si="3"/>
        <v>0.17710835951456905</v>
      </c>
      <c r="L16" s="33"/>
      <c r="M16" s="21"/>
      <c r="N16" s="53"/>
      <c r="O16" s="88" t="s">
        <v>5</v>
      </c>
      <c r="P16" s="9">
        <f>$O$5/7</f>
        <v>142.85714285714286</v>
      </c>
      <c r="Q16" s="9">
        <f t="shared" si="4"/>
        <v>927.6</v>
      </c>
      <c r="R16" s="52"/>
    </row>
    <row r="17" spans="1:20" x14ac:dyDescent="0.25">
      <c r="A17" s="26" t="s">
        <v>4</v>
      </c>
      <c r="B17" s="9">
        <f t="shared" si="0"/>
        <v>1084.8340203948796</v>
      </c>
      <c r="C17" s="9">
        <f>B17/8</f>
        <v>135.60425254935996</v>
      </c>
      <c r="D17" s="8">
        <v>7.8200000000000006E-2</v>
      </c>
      <c r="E17" s="104">
        <f t="shared" si="6"/>
        <v>1.0848340203948796</v>
      </c>
      <c r="F17" s="6">
        <f t="shared" si="1"/>
        <v>0.13560425254935995</v>
      </c>
      <c r="G17" s="38"/>
      <c r="H17" s="9">
        <f t="shared" ref="H17:H30" si="7">$A$5*J17</f>
        <v>1247.5591234541114</v>
      </c>
      <c r="I17" s="9">
        <f>H17/8</f>
        <v>155.94489043176392</v>
      </c>
      <c r="J17" s="7">
        <f t="shared" si="2"/>
        <v>1.2475591234541115</v>
      </c>
      <c r="K17" s="6">
        <f t="shared" si="3"/>
        <v>0.15594489043176393</v>
      </c>
      <c r="L17" s="31"/>
      <c r="N17" s="48"/>
      <c r="O17" s="88" t="s">
        <v>4</v>
      </c>
      <c r="P17" s="9">
        <f>$O$5/8</f>
        <v>125</v>
      </c>
      <c r="Q17" s="9">
        <f t="shared" si="4"/>
        <v>921.8</v>
      </c>
      <c r="R17" s="52"/>
    </row>
    <row r="18" spans="1:20" x14ac:dyDescent="0.25">
      <c r="A18" s="26" t="s">
        <v>3</v>
      </c>
      <c r="B18" s="9">
        <f t="shared" si="0"/>
        <v>1091.8222513374822</v>
      </c>
      <c r="C18" s="9">
        <f>B18/9</f>
        <v>121.31358348194246</v>
      </c>
      <c r="D18" s="8">
        <v>8.4099999999999994E-2</v>
      </c>
      <c r="E18" s="104">
        <f t="shared" si="6"/>
        <v>1.0918222513374822</v>
      </c>
      <c r="F18" s="6">
        <f t="shared" si="1"/>
        <v>0.12131358348194246</v>
      </c>
      <c r="G18" s="38"/>
      <c r="H18" s="9">
        <f t="shared" si="7"/>
        <v>1255.5955890381044</v>
      </c>
      <c r="I18" s="9">
        <f>H18/9</f>
        <v>139.51062100423383</v>
      </c>
      <c r="J18" s="7">
        <f t="shared" si="2"/>
        <v>1.2555955890381045</v>
      </c>
      <c r="K18" s="6">
        <f t="shared" si="3"/>
        <v>0.13951062100423384</v>
      </c>
      <c r="L18" s="31"/>
      <c r="N18" s="48"/>
      <c r="O18" s="88" t="s">
        <v>3</v>
      </c>
      <c r="P18" s="9">
        <f>$O$5/9</f>
        <v>111.11111111111111</v>
      </c>
      <c r="Q18" s="9">
        <f t="shared" si="4"/>
        <v>915.90000000000009</v>
      </c>
      <c r="R18" s="52"/>
    </row>
    <row r="19" spans="1:20" x14ac:dyDescent="0.25">
      <c r="A19" s="26" t="s">
        <v>2</v>
      </c>
      <c r="B19" s="9">
        <f t="shared" si="0"/>
        <v>1101.3215859030836</v>
      </c>
      <c r="C19" s="9">
        <f>B19/10</f>
        <v>110.13215859030836</v>
      </c>
      <c r="D19" s="8">
        <v>9.1999999999999998E-2</v>
      </c>
      <c r="E19" s="104">
        <f t="shared" si="6"/>
        <v>1.1013215859030836</v>
      </c>
      <c r="F19" s="6">
        <f t="shared" si="1"/>
        <v>0.11013215859030837</v>
      </c>
      <c r="G19" s="38"/>
      <c r="H19" s="9">
        <f t="shared" si="7"/>
        <v>1266.5198237885461</v>
      </c>
      <c r="I19" s="9">
        <f>H19/10</f>
        <v>126.65198237885461</v>
      </c>
      <c r="J19" s="7">
        <f t="shared" si="2"/>
        <v>1.266519823788546</v>
      </c>
      <c r="K19" s="6">
        <f t="shared" si="3"/>
        <v>0.12665198237885461</v>
      </c>
      <c r="L19" s="31"/>
      <c r="N19" s="48"/>
      <c r="O19" s="88" t="s">
        <v>2</v>
      </c>
      <c r="P19" s="9">
        <f>$O$5/10</f>
        <v>100</v>
      </c>
      <c r="Q19" s="9">
        <f t="shared" si="4"/>
        <v>908</v>
      </c>
      <c r="R19" s="52"/>
    </row>
    <row r="20" spans="1:20" x14ac:dyDescent="0.25">
      <c r="A20" s="26" t="s">
        <v>1</v>
      </c>
      <c r="B20" s="9">
        <f t="shared" si="0"/>
        <v>1108.1560283687943</v>
      </c>
      <c r="C20" s="9">
        <f>B20/11</f>
        <v>100.74145712443584</v>
      </c>
      <c r="D20" s="8">
        <v>9.7600000000000006E-2</v>
      </c>
      <c r="E20" s="104">
        <f t="shared" si="6"/>
        <v>1.1081560283687943</v>
      </c>
      <c r="F20" s="6">
        <f t="shared" si="1"/>
        <v>0.10074145712443584</v>
      </c>
      <c r="G20" s="38"/>
      <c r="H20" s="9">
        <f t="shared" si="7"/>
        <v>1274.3794326241134</v>
      </c>
      <c r="I20" s="9">
        <f>H20/11</f>
        <v>115.85267569310122</v>
      </c>
      <c r="J20" s="7">
        <f t="shared" si="2"/>
        <v>1.2743794326241134</v>
      </c>
      <c r="K20" s="6">
        <f t="shared" si="3"/>
        <v>0.11585267569310122</v>
      </c>
      <c r="L20" s="31"/>
      <c r="N20" s="48"/>
      <c r="O20" s="88" t="s">
        <v>1</v>
      </c>
      <c r="P20" s="9">
        <f>$O$5/11</f>
        <v>90.909090909090907</v>
      </c>
      <c r="Q20" s="9">
        <f t="shared" si="4"/>
        <v>902.4</v>
      </c>
      <c r="R20" s="52"/>
    </row>
    <row r="21" spans="1:20" x14ac:dyDescent="0.25">
      <c r="A21" s="26" t="s">
        <v>0</v>
      </c>
      <c r="B21" s="9">
        <f t="shared" si="0"/>
        <v>1120.950566080036</v>
      </c>
      <c r="C21" s="9">
        <f>B21/12</f>
        <v>93.412547173336336</v>
      </c>
      <c r="D21" s="8">
        <v>0.1079</v>
      </c>
      <c r="E21" s="104">
        <f>B21/$A$5</f>
        <v>1.1209505660800361</v>
      </c>
      <c r="F21" s="6">
        <f>C21/$A$5</f>
        <v>9.341254717333633E-2</v>
      </c>
      <c r="G21" s="38"/>
      <c r="H21" s="9">
        <f t="shared" si="7"/>
        <v>1289.0931509920413</v>
      </c>
      <c r="I21" s="9">
        <f>H21/12</f>
        <v>107.42442924933677</v>
      </c>
      <c r="J21" s="7">
        <f t="shared" si="2"/>
        <v>1.2890931509920414</v>
      </c>
      <c r="K21" s="6">
        <f t="shared" si="3"/>
        <v>0.10742442924933676</v>
      </c>
      <c r="L21" s="31"/>
      <c r="N21" s="48"/>
      <c r="O21" s="88" t="s">
        <v>0</v>
      </c>
      <c r="P21" s="9">
        <f>$O$5/12</f>
        <v>83.333333333333329</v>
      </c>
      <c r="Q21" s="9">
        <f>$O$5*(1-D21)</f>
        <v>892.1</v>
      </c>
      <c r="R21" s="52"/>
    </row>
    <row r="22" spans="1:20" hidden="1" x14ac:dyDescent="0.25">
      <c r="A22" s="25" t="s">
        <v>28</v>
      </c>
      <c r="B22" s="13">
        <f t="shared" si="0"/>
        <v>1173.8466956215518</v>
      </c>
      <c r="C22" s="13">
        <f>B22/13</f>
        <v>90.295899663196295</v>
      </c>
      <c r="D22" s="12">
        <v>0.14810000000000001</v>
      </c>
      <c r="E22" s="103">
        <f>B22/$A$5</f>
        <v>1.1738466956215519</v>
      </c>
      <c r="F22" s="10">
        <f>C22/$A$5</f>
        <v>9.0295899663196288E-2</v>
      </c>
      <c r="G22" s="38"/>
      <c r="H22" s="13">
        <f t="shared" si="7"/>
        <v>1349.9236999647846</v>
      </c>
      <c r="I22" s="13">
        <f>H22/13</f>
        <v>103.84028461267575</v>
      </c>
      <c r="J22" s="11">
        <f t="shared" si="2"/>
        <v>1.3499236999647846</v>
      </c>
      <c r="K22" s="10">
        <f t="shared" si="3"/>
        <v>0.10384028461267575</v>
      </c>
      <c r="L22" s="31"/>
      <c r="N22" s="48"/>
      <c r="O22" s="87" t="str">
        <f>A22</f>
        <v>Crédito Parcelado 13x</v>
      </c>
      <c r="P22" s="13">
        <f>$O$5/13</f>
        <v>76.92307692307692</v>
      </c>
      <c r="Q22" s="13">
        <f t="shared" ref="Q22:Q30" si="8">$O$5*(1-D22)</f>
        <v>851.9</v>
      </c>
      <c r="R22" s="52"/>
    </row>
    <row r="23" spans="1:20" hidden="1" x14ac:dyDescent="0.25">
      <c r="A23" s="25" t="s">
        <v>29</v>
      </c>
      <c r="B23" s="13">
        <f t="shared" si="0"/>
        <v>1183.2919181161992</v>
      </c>
      <c r="C23" s="13">
        <f>B23/14</f>
        <v>84.520851294014236</v>
      </c>
      <c r="D23" s="12">
        <v>0.15490000000000001</v>
      </c>
      <c r="E23" s="103">
        <f t="shared" ref="E23:F30" si="9">B23/$A$5</f>
        <v>1.1832919181161992</v>
      </c>
      <c r="F23" s="10">
        <f t="shared" si="9"/>
        <v>8.4520851294014238E-2</v>
      </c>
      <c r="G23" s="38"/>
      <c r="H23" s="13">
        <f t="shared" si="7"/>
        <v>1360.785705833629</v>
      </c>
      <c r="I23" s="13">
        <f>H23/14</f>
        <v>97.198978988116352</v>
      </c>
      <c r="J23" s="11">
        <f t="shared" si="2"/>
        <v>1.360785705833629</v>
      </c>
      <c r="K23" s="10">
        <f t="shared" si="3"/>
        <v>9.7198978988116358E-2</v>
      </c>
      <c r="L23" s="31"/>
      <c r="N23" s="48"/>
      <c r="O23" s="87" t="str">
        <f t="shared" ref="O23:O30" si="10">A23</f>
        <v>Crédito Parcelado 14x</v>
      </c>
      <c r="P23" s="13">
        <f>$O$5/14</f>
        <v>71.428571428571431</v>
      </c>
      <c r="Q23" s="13">
        <f t="shared" si="8"/>
        <v>845.09999999999991</v>
      </c>
      <c r="R23" s="52"/>
      <c r="T23" s="21"/>
    </row>
    <row r="24" spans="1:20" hidden="1" x14ac:dyDescent="0.25">
      <c r="A24" s="25" t="s">
        <v>30</v>
      </c>
      <c r="B24" s="13">
        <f t="shared" si="0"/>
        <v>1192.8903733746868</v>
      </c>
      <c r="C24" s="13">
        <f>B24/15</f>
        <v>79.52602489164579</v>
      </c>
      <c r="D24" s="12">
        <v>0.16170000000000001</v>
      </c>
      <c r="E24" s="103">
        <f t="shared" si="9"/>
        <v>1.1928903733746867</v>
      </c>
      <c r="F24" s="10">
        <f t="shared" si="9"/>
        <v>7.9526024891645786E-2</v>
      </c>
      <c r="G24" s="38"/>
      <c r="H24" s="13">
        <f t="shared" si="7"/>
        <v>1371.8239293808897</v>
      </c>
      <c r="I24" s="13">
        <f>H24/15</f>
        <v>91.45492862539264</v>
      </c>
      <c r="J24" s="11">
        <f t="shared" si="2"/>
        <v>1.3718239293808896</v>
      </c>
      <c r="K24" s="10">
        <f t="shared" si="3"/>
        <v>9.1454928625392645E-2</v>
      </c>
      <c r="L24" s="31"/>
      <c r="N24" s="48"/>
      <c r="O24" s="87" t="str">
        <f t="shared" si="10"/>
        <v>Crédito Parcelado 15x</v>
      </c>
      <c r="P24" s="13">
        <f>$O$5/15</f>
        <v>66.666666666666671</v>
      </c>
      <c r="Q24" s="13">
        <f t="shared" si="8"/>
        <v>838.30000000000007</v>
      </c>
      <c r="R24" s="52"/>
      <c r="T24" s="21"/>
    </row>
    <row r="25" spans="1:20" hidden="1" x14ac:dyDescent="0.25">
      <c r="A25" s="25" t="s">
        <v>31</v>
      </c>
      <c r="B25" s="13">
        <f t="shared" si="0"/>
        <v>1202.6458208057727</v>
      </c>
      <c r="C25" s="13">
        <f>B25/16</f>
        <v>75.165363800360794</v>
      </c>
      <c r="D25" s="12">
        <v>0.16850000000000001</v>
      </c>
      <c r="E25" s="103">
        <f t="shared" si="9"/>
        <v>1.2026458208057726</v>
      </c>
      <c r="F25" s="10">
        <f t="shared" si="9"/>
        <v>7.516536380036079E-2</v>
      </c>
      <c r="G25" s="38"/>
      <c r="H25" s="13">
        <f t="shared" si="7"/>
        <v>1383.0426939266385</v>
      </c>
      <c r="I25" s="13">
        <f>H25/16</f>
        <v>86.440168370414909</v>
      </c>
      <c r="J25" s="11">
        <f t="shared" si="2"/>
        <v>1.3830426939266385</v>
      </c>
      <c r="K25" s="10">
        <f t="shared" si="3"/>
        <v>8.6440168370414905E-2</v>
      </c>
      <c r="L25" s="31"/>
      <c r="N25" s="48"/>
      <c r="O25" s="87" t="str">
        <f t="shared" si="10"/>
        <v>Crédito Parcelado 16x</v>
      </c>
      <c r="P25" s="13">
        <f>$O$5/16</f>
        <v>62.5</v>
      </c>
      <c r="Q25" s="13">
        <f t="shared" si="8"/>
        <v>831.5</v>
      </c>
      <c r="R25" s="52"/>
      <c r="S25" s="21"/>
      <c r="T25" s="21"/>
    </row>
    <row r="26" spans="1:20" hidden="1" x14ac:dyDescent="0.25">
      <c r="A26" s="25" t="s">
        <v>32</v>
      </c>
      <c r="B26" s="13">
        <f t="shared" si="0"/>
        <v>1212.7091923356779</v>
      </c>
      <c r="C26" s="13">
        <f>B26/17</f>
        <v>71.335834843275165</v>
      </c>
      <c r="D26" s="12">
        <v>0.1754</v>
      </c>
      <c r="E26" s="103">
        <f t="shared" si="9"/>
        <v>1.2127091923356779</v>
      </c>
      <c r="F26" s="10">
        <f t="shared" si="9"/>
        <v>7.1335834843275159E-2</v>
      </c>
      <c r="G26" s="38"/>
      <c r="H26" s="13">
        <f t="shared" si="7"/>
        <v>1394.6155711860295</v>
      </c>
      <c r="I26" s="13">
        <f>H26/17</f>
        <v>82.03621006976644</v>
      </c>
      <c r="J26" s="11">
        <f t="shared" si="2"/>
        <v>1.3946155711860295</v>
      </c>
      <c r="K26" s="10">
        <f t="shared" si="3"/>
        <v>8.2036210069766441E-2</v>
      </c>
      <c r="L26" s="31"/>
      <c r="N26" s="48"/>
      <c r="O26" s="87" t="str">
        <f t="shared" si="10"/>
        <v>Crédito Parcelado 17x</v>
      </c>
      <c r="P26" s="13">
        <f>$O$5/17</f>
        <v>58.823529411764703</v>
      </c>
      <c r="Q26" s="13">
        <f t="shared" si="8"/>
        <v>824.6</v>
      </c>
      <c r="R26" s="52"/>
      <c r="S26" s="21"/>
    </row>
    <row r="27" spans="1:20" hidden="1" x14ac:dyDescent="0.25">
      <c r="A27" s="25" t="s">
        <v>33</v>
      </c>
      <c r="B27" s="13">
        <f t="shared" si="0"/>
        <v>1222.7928588897041</v>
      </c>
      <c r="C27" s="13">
        <f>B27/18</f>
        <v>67.932936604983567</v>
      </c>
      <c r="D27" s="12">
        <v>0.1822</v>
      </c>
      <c r="E27" s="103">
        <f t="shared" si="9"/>
        <v>1.2227928588897041</v>
      </c>
      <c r="F27" s="10">
        <f t="shared" si="9"/>
        <v>6.7932936604983563E-2</v>
      </c>
      <c r="G27" s="38"/>
      <c r="H27" s="13">
        <f t="shared" si="7"/>
        <v>1406.2117877231597</v>
      </c>
      <c r="I27" s="13">
        <f>H27/18</f>
        <v>78.122877095731099</v>
      </c>
      <c r="J27" s="11">
        <f t="shared" si="2"/>
        <v>1.4062117877231597</v>
      </c>
      <c r="K27" s="10">
        <f t="shared" si="3"/>
        <v>7.8122877095731097E-2</v>
      </c>
      <c r="L27" s="31"/>
      <c r="N27" s="48"/>
      <c r="O27" s="87" t="str">
        <f t="shared" si="10"/>
        <v>Crédito Parcelado 18x</v>
      </c>
      <c r="P27" s="13">
        <f>$O$5/18</f>
        <v>55.555555555555557</v>
      </c>
      <c r="Q27" s="13">
        <f t="shared" si="8"/>
        <v>817.8</v>
      </c>
      <c r="R27" s="52"/>
    </row>
    <row r="28" spans="1:20" hidden="1" x14ac:dyDescent="0.25">
      <c r="A28" s="25" t="s">
        <v>36</v>
      </c>
      <c r="B28" s="13">
        <f t="shared" si="0"/>
        <v>1233.0456226880397</v>
      </c>
      <c r="C28" s="13">
        <f>B28/19</f>
        <v>64.89713803621261</v>
      </c>
      <c r="D28" s="12">
        <v>0.189</v>
      </c>
      <c r="E28" s="103">
        <f t="shared" si="9"/>
        <v>1.2330456226880397</v>
      </c>
      <c r="F28" s="10">
        <f t="shared" si="9"/>
        <v>6.4897138036212609E-2</v>
      </c>
      <c r="G28" s="38"/>
      <c r="H28" s="13">
        <f t="shared" si="7"/>
        <v>1418.0024660912457</v>
      </c>
      <c r="I28" s="13">
        <f>H28/19</f>
        <v>74.631708741644502</v>
      </c>
      <c r="J28" s="11">
        <f t="shared" si="2"/>
        <v>1.4180024660912456</v>
      </c>
      <c r="K28" s="10">
        <f t="shared" si="3"/>
        <v>7.4631708741644501E-2</v>
      </c>
      <c r="L28" s="31"/>
      <c r="N28" s="48"/>
      <c r="O28" s="87" t="str">
        <f t="shared" si="10"/>
        <v>Crédito Parcelado 19</v>
      </c>
      <c r="P28" s="13">
        <f>$O$5/19</f>
        <v>52.631578947368418</v>
      </c>
      <c r="Q28" s="13">
        <f t="shared" si="8"/>
        <v>811</v>
      </c>
      <c r="R28" s="52"/>
    </row>
    <row r="29" spans="1:20" hidden="1" x14ac:dyDescent="0.25">
      <c r="A29" s="25" t="s">
        <v>37</v>
      </c>
      <c r="B29" s="13">
        <f t="shared" si="0"/>
        <v>1243.4717731907485</v>
      </c>
      <c r="C29" s="13">
        <f>B29/20</f>
        <v>62.17358865953743</v>
      </c>
      <c r="D29" s="12">
        <v>0.1958</v>
      </c>
      <c r="E29" s="103">
        <f t="shared" si="9"/>
        <v>1.2434717731907485</v>
      </c>
      <c r="F29" s="10">
        <f t="shared" si="9"/>
        <v>6.2173588659537427E-2</v>
      </c>
      <c r="G29" s="38"/>
      <c r="H29" s="13">
        <f t="shared" si="7"/>
        <v>1429.9925391693607</v>
      </c>
      <c r="I29" s="13">
        <f>H29/20</f>
        <v>71.499626958468042</v>
      </c>
      <c r="J29" s="11">
        <f t="shared" si="2"/>
        <v>1.4299925391693606</v>
      </c>
      <c r="K29" s="10">
        <f t="shared" si="3"/>
        <v>7.1499626958468038E-2</v>
      </c>
      <c r="L29" s="31"/>
      <c r="N29" s="48"/>
      <c r="O29" s="87" t="str">
        <f t="shared" si="10"/>
        <v>Crédito Parcelado 20x</v>
      </c>
      <c r="P29" s="13">
        <f>$O$5/20</f>
        <v>50</v>
      </c>
      <c r="Q29" s="13">
        <f t="shared" si="8"/>
        <v>804.2</v>
      </c>
      <c r="R29" s="52"/>
    </row>
    <row r="30" spans="1:20" hidden="1" x14ac:dyDescent="0.25">
      <c r="A30" s="25" t="s">
        <v>38</v>
      </c>
      <c r="B30" s="13">
        <f t="shared" si="0"/>
        <v>1254.0757461750691</v>
      </c>
      <c r="C30" s="13">
        <f>B30/21</f>
        <v>59.717892675003291</v>
      </c>
      <c r="D30" s="12">
        <v>0.2026</v>
      </c>
      <c r="E30" s="103">
        <f t="shared" si="9"/>
        <v>1.2540757461750691</v>
      </c>
      <c r="F30" s="10">
        <f t="shared" si="9"/>
        <v>5.9717892675003291E-2</v>
      </c>
      <c r="G30" s="38"/>
      <c r="H30" s="13">
        <f t="shared" si="7"/>
        <v>1442.1871081013294</v>
      </c>
      <c r="I30" s="13">
        <f>H30/21</f>
        <v>68.675576576253775</v>
      </c>
      <c r="J30" s="11">
        <f t="shared" si="2"/>
        <v>1.4421871081013293</v>
      </c>
      <c r="K30" s="10">
        <f t="shared" si="3"/>
        <v>6.8675576576253769E-2</v>
      </c>
      <c r="L30" s="31"/>
      <c r="N30" s="48"/>
      <c r="O30" s="87" t="str">
        <f t="shared" si="10"/>
        <v>Crédito Parcelado 21x</v>
      </c>
      <c r="P30" s="13">
        <f>$O$5/21</f>
        <v>47.61904761904762</v>
      </c>
      <c r="Q30" s="13">
        <f t="shared" si="8"/>
        <v>797.4</v>
      </c>
      <c r="R30" s="52"/>
    </row>
    <row r="31" spans="1:20" hidden="1" x14ac:dyDescent="0.25">
      <c r="A31" s="105"/>
      <c r="B31" s="78"/>
      <c r="C31" s="78"/>
      <c r="D31" s="106"/>
      <c r="E31" s="107"/>
      <c r="F31" s="108"/>
      <c r="G31" s="38"/>
      <c r="H31" s="109"/>
      <c r="I31" s="78"/>
      <c r="J31" s="110"/>
      <c r="K31" s="111"/>
      <c r="L31" s="31"/>
      <c r="N31" s="48"/>
      <c r="O31" s="78"/>
      <c r="P31" s="78"/>
      <c r="Q31" s="78"/>
      <c r="R31" s="52"/>
    </row>
    <row r="32" spans="1:20" hidden="1" x14ac:dyDescent="0.25">
      <c r="A32" s="62" t="s">
        <v>25</v>
      </c>
      <c r="B32" s="62">
        <f t="shared" si="0"/>
        <v>1009.99899000101</v>
      </c>
      <c r="C32" s="62">
        <f>B32</f>
        <v>1009.99899000101</v>
      </c>
      <c r="D32" s="63">
        <v>9.9000000000000008E-3</v>
      </c>
      <c r="E32" s="64">
        <f>C32/A5</f>
        <v>1.00999899000101</v>
      </c>
      <c r="F32" s="65">
        <f>C32/A5</f>
        <v>1.00999899000101</v>
      </c>
      <c r="G32" s="70"/>
      <c r="H32" s="62">
        <v>111.56615366654692</v>
      </c>
      <c r="I32" s="62">
        <v>111.56615366654692</v>
      </c>
      <c r="J32" s="64">
        <f t="shared" si="2"/>
        <v>1.1614988385011613</v>
      </c>
      <c r="K32" s="65">
        <v>1.1156615366654692</v>
      </c>
      <c r="L32" s="31"/>
      <c r="N32" s="48"/>
      <c r="O32" s="89" t="str">
        <f>A32</f>
        <v>Débito (Visa/Master)</v>
      </c>
      <c r="P32" s="77">
        <f>O5</f>
        <v>1000</v>
      </c>
      <c r="Q32" s="77">
        <f t="shared" ref="Q32" si="11">$O$5*(1-D32)</f>
        <v>990.1</v>
      </c>
      <c r="R32" s="52"/>
      <c r="S32" s="21"/>
    </row>
    <row r="33" spans="1:19" hidden="1" x14ac:dyDescent="0.25">
      <c r="A33" s="79"/>
      <c r="B33" s="79"/>
      <c r="C33" s="79"/>
      <c r="D33" s="79"/>
      <c r="E33" s="79"/>
      <c r="F33" s="80"/>
      <c r="G33" s="71"/>
      <c r="H33" s="81"/>
      <c r="I33" s="79"/>
      <c r="J33" s="79"/>
      <c r="K33" s="82"/>
      <c r="L33" s="31"/>
      <c r="N33" s="48"/>
      <c r="O33" s="78"/>
      <c r="P33" s="78"/>
      <c r="Q33" s="78"/>
      <c r="R33" s="52"/>
      <c r="S33" s="21"/>
    </row>
    <row r="34" spans="1:19" hidden="1" x14ac:dyDescent="0.25">
      <c r="A34" s="66" t="s">
        <v>26</v>
      </c>
      <c r="B34" s="66">
        <f t="shared" si="0"/>
        <v>1009.99899000101</v>
      </c>
      <c r="C34" s="66">
        <f>B34</f>
        <v>1009.99899000101</v>
      </c>
      <c r="D34" s="67">
        <v>9.9000000000000008E-3</v>
      </c>
      <c r="E34" s="68">
        <f>C34/A5</f>
        <v>1.00999899000101</v>
      </c>
      <c r="F34" s="69">
        <f>C34/A5</f>
        <v>1.00999899000101</v>
      </c>
      <c r="G34" s="70"/>
      <c r="H34" s="66">
        <v>108.59543079602503</v>
      </c>
      <c r="I34" s="66">
        <v>108.59543079602503</v>
      </c>
      <c r="J34" s="68">
        <f t="shared" si="2"/>
        <v>1.1614988385011613</v>
      </c>
      <c r="K34" s="69">
        <v>1.0859543079602503</v>
      </c>
      <c r="L34" s="31"/>
      <c r="N34" s="48"/>
      <c r="O34" s="90" t="str">
        <f>A34</f>
        <v>Débito (Elo, Hiper e Amex)</v>
      </c>
      <c r="P34" s="66">
        <f>O5</f>
        <v>1000</v>
      </c>
      <c r="Q34" s="66">
        <f t="shared" ref="Q34" si="12">$O$5*(1-D34)</f>
        <v>990.1</v>
      </c>
      <c r="R34" s="52"/>
      <c r="S34" s="21"/>
    </row>
    <row r="35" spans="1:19" x14ac:dyDescent="0.25">
      <c r="A35" s="57"/>
      <c r="B35" s="58"/>
      <c r="C35" s="58"/>
      <c r="D35" s="59"/>
      <c r="E35" s="60"/>
      <c r="F35" s="61"/>
      <c r="G35" s="38"/>
      <c r="H35" s="73"/>
      <c r="I35" s="74"/>
      <c r="J35" s="75"/>
      <c r="K35" s="76"/>
      <c r="L35" s="31"/>
      <c r="N35" s="48"/>
      <c r="O35" s="78"/>
      <c r="P35" s="78"/>
      <c r="Q35" s="78"/>
      <c r="R35" s="52"/>
      <c r="S35" s="21"/>
    </row>
    <row r="36" spans="1:19" ht="16.5" thickBot="1" x14ac:dyDescent="0.3">
      <c r="A36" s="27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9"/>
      <c r="N36" s="54"/>
      <c r="O36" s="55"/>
      <c r="P36" s="55"/>
      <c r="Q36" s="55"/>
      <c r="R36" s="56"/>
    </row>
    <row r="38" spans="1:19" x14ac:dyDescent="0.25">
      <c r="O38" s="21"/>
    </row>
  </sheetData>
  <mergeCells count="16">
    <mergeCell ref="Q7:Q8"/>
    <mergeCell ref="C5:E5"/>
    <mergeCell ref="H5:J5"/>
    <mergeCell ref="O5:P5"/>
    <mergeCell ref="B7:F7"/>
    <mergeCell ref="H7:J7"/>
    <mergeCell ref="O7:O8"/>
    <mergeCell ref="P7:P8"/>
    <mergeCell ref="C4:E4"/>
    <mergeCell ref="H4:J4"/>
    <mergeCell ref="O4:P4"/>
    <mergeCell ref="A1:L1"/>
    <mergeCell ref="N1:R1"/>
    <mergeCell ref="C3:E3"/>
    <mergeCell ref="H3:J3"/>
    <mergeCell ref="O3:P3"/>
  </mergeCells>
  <pageMargins left="0.7" right="0.98" top="0.75" bottom="0.75" header="0.49" footer="0.3"/>
  <pageSetup paperSize="9" scale="6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F22F4-64E6-4459-B635-EAF3FBD17D06}">
  <sheetPr>
    <tabColor theme="3"/>
    <pageSetUpPr fitToPage="1"/>
  </sheetPr>
  <dimension ref="A1:T38"/>
  <sheetViews>
    <sheetView showGridLines="0" zoomScale="110" zoomScaleNormal="110" workbookViewId="0">
      <selection activeCell="A6" sqref="A6"/>
    </sheetView>
  </sheetViews>
  <sheetFormatPr defaultColWidth="11" defaultRowHeight="15.75" x14ac:dyDescent="0.25"/>
  <cols>
    <col min="1" max="1" width="24.5" style="1" bestFit="1" customWidth="1"/>
    <col min="2" max="3" width="10.625" style="1" bestFit="1" customWidth="1"/>
    <col min="4" max="4" width="7" style="1" bestFit="1" customWidth="1"/>
    <col min="5" max="5" width="10.125" style="1" bestFit="1" customWidth="1"/>
    <col min="6" max="6" width="10.75" style="1" bestFit="1" customWidth="1"/>
    <col min="7" max="7" width="1.75" style="1" customWidth="1"/>
    <col min="8" max="9" width="12.625" style="1" bestFit="1" customWidth="1"/>
    <col min="10" max="10" width="8.25" style="1" bestFit="1" customWidth="1"/>
    <col min="11" max="11" width="10.75" style="1" customWidth="1"/>
    <col min="12" max="12" width="2.25" style="1" customWidth="1"/>
    <col min="13" max="13" width="4" style="1" customWidth="1"/>
    <col min="14" max="14" width="2.375" style="1" hidden="1" customWidth="1"/>
    <col min="15" max="15" width="25.625" style="1" hidden="1" customWidth="1"/>
    <col min="16" max="16" width="12" style="1" hidden="1" customWidth="1"/>
    <col min="17" max="17" width="16.5" style="1" hidden="1" customWidth="1"/>
    <col min="18" max="18" width="2.5" style="1" hidden="1" customWidth="1"/>
    <col min="19" max="16384" width="11" style="1"/>
  </cols>
  <sheetData>
    <row r="1" spans="1:20" s="84" customFormat="1" ht="26.1" customHeight="1" x14ac:dyDescent="0.5">
      <c r="A1" s="188" t="s">
        <v>23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83"/>
      <c r="N1" s="189" t="s">
        <v>22</v>
      </c>
      <c r="O1" s="189"/>
      <c r="P1" s="189"/>
      <c r="Q1" s="189"/>
      <c r="R1" s="189"/>
    </row>
    <row r="2" spans="1:20" ht="12" customHeight="1" thickBot="1" x14ac:dyDescent="0.3"/>
    <row r="3" spans="1:20" ht="12" customHeight="1" x14ac:dyDescent="0.25">
      <c r="A3" s="42"/>
      <c r="B3" s="39"/>
      <c r="C3" s="190"/>
      <c r="D3" s="190"/>
      <c r="E3" s="190"/>
      <c r="F3" s="39"/>
      <c r="G3" s="39"/>
      <c r="H3" s="190"/>
      <c r="I3" s="190"/>
      <c r="J3" s="190"/>
      <c r="K3" s="39"/>
      <c r="L3" s="30"/>
      <c r="N3" s="45"/>
      <c r="O3" s="191"/>
      <c r="P3" s="191"/>
      <c r="Q3" s="46"/>
      <c r="R3" s="47"/>
    </row>
    <row r="4" spans="1:20" ht="18.75" x14ac:dyDescent="0.25">
      <c r="A4" s="43" t="s">
        <v>20</v>
      </c>
      <c r="B4" s="41"/>
      <c r="C4" s="180" t="s">
        <v>27</v>
      </c>
      <c r="D4" s="181"/>
      <c r="E4" s="182"/>
      <c r="F4" s="41"/>
      <c r="G4" s="41"/>
      <c r="H4" s="183" t="s">
        <v>19</v>
      </c>
      <c r="I4" s="184"/>
      <c r="J4" s="185"/>
      <c r="K4" s="41"/>
      <c r="L4" s="31"/>
      <c r="N4" s="48"/>
      <c r="O4" s="186" t="s">
        <v>24</v>
      </c>
      <c r="P4" s="187"/>
      <c r="Q4" s="22"/>
      <c r="R4" s="49"/>
    </row>
    <row r="5" spans="1:20" ht="21.75" customHeight="1" x14ac:dyDescent="0.25">
      <c r="A5" s="44">
        <v>1000</v>
      </c>
      <c r="B5" s="40"/>
      <c r="C5" s="194">
        <f>A5*(1+$K$7)</f>
        <v>1200</v>
      </c>
      <c r="D5" s="195"/>
      <c r="E5" s="196"/>
      <c r="F5" s="40"/>
      <c r="G5" s="40"/>
      <c r="H5" s="197">
        <f>IFERROR((C5-(A5)),0)</f>
        <v>200</v>
      </c>
      <c r="I5" s="198"/>
      <c r="J5" s="199"/>
      <c r="K5" s="40"/>
      <c r="L5" s="31"/>
      <c r="N5" s="48"/>
      <c r="O5" s="200">
        <f>A5</f>
        <v>1000</v>
      </c>
      <c r="P5" s="201"/>
      <c r="Q5" s="22"/>
      <c r="R5" s="49"/>
    </row>
    <row r="6" spans="1:20" ht="12.75" customHeight="1" x14ac:dyDescent="0.25">
      <c r="A6" s="34"/>
      <c r="B6" s="35"/>
      <c r="C6" s="35"/>
      <c r="D6" s="35"/>
      <c r="E6" s="35"/>
      <c r="F6" s="35"/>
      <c r="G6" s="35"/>
      <c r="H6" s="35"/>
      <c r="I6" s="35"/>
      <c r="J6" s="35"/>
      <c r="K6" s="35"/>
      <c r="L6" s="31"/>
      <c r="N6" s="48"/>
      <c r="O6" s="22"/>
      <c r="P6" s="22"/>
      <c r="Q6" s="22"/>
      <c r="R6" s="49"/>
    </row>
    <row r="7" spans="1:20" s="19" customFormat="1" ht="23.25" customHeight="1" x14ac:dyDescent="0.25">
      <c r="A7" s="112" t="s">
        <v>17</v>
      </c>
      <c r="B7" s="202" t="s">
        <v>39</v>
      </c>
      <c r="C7" s="203"/>
      <c r="D7" s="203"/>
      <c r="E7" s="203"/>
      <c r="F7" s="204"/>
      <c r="G7" s="36"/>
      <c r="H7" s="205" t="s">
        <v>18</v>
      </c>
      <c r="I7" s="206"/>
      <c r="J7" s="206"/>
      <c r="K7" s="20">
        <v>0.2</v>
      </c>
      <c r="L7" s="32"/>
      <c r="N7" s="50"/>
      <c r="O7" s="207" t="s">
        <v>17</v>
      </c>
      <c r="P7" s="209" t="s">
        <v>15</v>
      </c>
      <c r="Q7" s="192" t="s">
        <v>21</v>
      </c>
      <c r="R7" s="51"/>
      <c r="T7" s="99"/>
    </row>
    <row r="8" spans="1:20" x14ac:dyDescent="0.25">
      <c r="A8" s="113"/>
      <c r="B8" s="18" t="s">
        <v>16</v>
      </c>
      <c r="C8" s="18" t="s">
        <v>15</v>
      </c>
      <c r="D8" s="18" t="s">
        <v>14</v>
      </c>
      <c r="E8" s="18" t="s">
        <v>13</v>
      </c>
      <c r="F8" s="18" t="s">
        <v>12</v>
      </c>
      <c r="G8" s="37"/>
      <c r="H8" s="72" t="s">
        <v>16</v>
      </c>
      <c r="I8" s="72" t="s">
        <v>15</v>
      </c>
      <c r="J8" s="72" t="s">
        <v>13</v>
      </c>
      <c r="K8" s="72" t="s">
        <v>12</v>
      </c>
      <c r="L8" s="31"/>
      <c r="N8" s="48"/>
      <c r="O8" s="208"/>
      <c r="P8" s="209"/>
      <c r="Q8" s="193"/>
      <c r="R8" s="49"/>
      <c r="T8" s="100"/>
    </row>
    <row r="9" spans="1:20" x14ac:dyDescent="0.25">
      <c r="A9" s="23" t="s">
        <v>11</v>
      </c>
      <c r="B9" s="17">
        <f>($A$5)/(1-D9)</f>
        <v>1032.2047894302229</v>
      </c>
      <c r="C9" s="17">
        <f>B9</f>
        <v>1032.2047894302229</v>
      </c>
      <c r="D9" s="16">
        <v>3.1199999999999999E-2</v>
      </c>
      <c r="E9" s="101">
        <f>B9/$A$5</f>
        <v>1.0322047894302229</v>
      </c>
      <c r="F9" s="14">
        <f>C9/A5</f>
        <v>1.0322047894302229</v>
      </c>
      <c r="G9" s="38"/>
      <c r="H9" s="17">
        <f>$A$5*J9</f>
        <v>1238.6457473162673</v>
      </c>
      <c r="I9" s="17">
        <f>H9</f>
        <v>1238.6457473162673</v>
      </c>
      <c r="J9" s="15">
        <f>E9*(1+$K$7)</f>
        <v>1.2386457473162673</v>
      </c>
      <c r="K9" s="14">
        <f>I9/$A$5</f>
        <v>1.2386457473162673</v>
      </c>
      <c r="L9" s="31"/>
      <c r="N9" s="48"/>
      <c r="O9" s="85" t="s">
        <v>11</v>
      </c>
      <c r="P9" s="17">
        <f>$O$5</f>
        <v>1000</v>
      </c>
      <c r="Q9" s="17">
        <f>$O$5*(1-D9)</f>
        <v>968.8</v>
      </c>
      <c r="R9" s="52"/>
      <c r="T9" s="21"/>
    </row>
    <row r="10" spans="1:20" ht="12.75" customHeight="1" x14ac:dyDescent="0.25">
      <c r="A10" s="24"/>
      <c r="B10" s="4"/>
      <c r="C10" s="4"/>
      <c r="D10" s="3"/>
      <c r="E10" s="102"/>
      <c r="F10" s="2"/>
      <c r="G10" s="38"/>
      <c r="H10" s="4"/>
      <c r="I10" s="4"/>
      <c r="J10" s="5"/>
      <c r="K10" s="2"/>
      <c r="L10" s="31"/>
      <c r="N10" s="48"/>
      <c r="O10" s="86"/>
      <c r="P10" s="4"/>
      <c r="Q10" s="4"/>
      <c r="R10" s="49"/>
    </row>
    <row r="11" spans="1:20" x14ac:dyDescent="0.25">
      <c r="A11" s="25" t="s">
        <v>10</v>
      </c>
      <c r="B11" s="13">
        <f t="shared" ref="B11:B34" si="0">$A$5/(1-D11)</f>
        <v>1044.0593025683859</v>
      </c>
      <c r="C11" s="13">
        <f>B11/2</f>
        <v>522.02965128419294</v>
      </c>
      <c r="D11" s="12">
        <v>4.2200000000000001E-2</v>
      </c>
      <c r="E11" s="103">
        <f>B11/$A$5</f>
        <v>1.044059302568386</v>
      </c>
      <c r="F11" s="10">
        <f t="shared" ref="F11:F20" si="1">C11/$A$5</f>
        <v>0.52202965128419299</v>
      </c>
      <c r="G11" s="38"/>
      <c r="H11" s="13">
        <f>$A$5*J11</f>
        <v>1252.871163082063</v>
      </c>
      <c r="I11" s="13">
        <f>H11/2</f>
        <v>626.43558154103152</v>
      </c>
      <c r="J11" s="11">
        <f t="shared" ref="J11:J34" si="2">E11*(1+$K$7)</f>
        <v>1.252871163082063</v>
      </c>
      <c r="K11" s="10">
        <f t="shared" ref="K11:K30" si="3">I11/$A$5</f>
        <v>0.62643558154103152</v>
      </c>
      <c r="L11" s="31"/>
      <c r="N11" s="48"/>
      <c r="O11" s="87" t="s">
        <v>10</v>
      </c>
      <c r="P11" s="13">
        <f>$O$5/2</f>
        <v>500</v>
      </c>
      <c r="Q11" s="13">
        <f t="shared" ref="Q11:Q20" si="4">$O$5*(1-D11)</f>
        <v>957.8</v>
      </c>
      <c r="R11" s="52"/>
    </row>
    <row r="12" spans="1:20" x14ac:dyDescent="0.25">
      <c r="A12" s="25" t="s">
        <v>9</v>
      </c>
      <c r="B12" s="13">
        <f t="shared" si="0"/>
        <v>1050.7512871703268</v>
      </c>
      <c r="C12" s="13">
        <f>B12/3</f>
        <v>350.2504290567756</v>
      </c>
      <c r="D12" s="12">
        <v>4.8300000000000003E-2</v>
      </c>
      <c r="E12" s="103">
        <f>B12/$A$5</f>
        <v>1.0507512871703268</v>
      </c>
      <c r="F12" s="10">
        <f t="shared" si="1"/>
        <v>0.35025042905677561</v>
      </c>
      <c r="G12" s="38"/>
      <c r="H12" s="13">
        <f t="shared" ref="H12:H15" si="5">$A$5*J12</f>
        <v>1260.901544604392</v>
      </c>
      <c r="I12" s="13">
        <f>H12/3</f>
        <v>420.30051486813068</v>
      </c>
      <c r="J12" s="11">
        <f t="shared" si="2"/>
        <v>1.2609015446043921</v>
      </c>
      <c r="K12" s="10">
        <f t="shared" si="3"/>
        <v>0.42030051486813069</v>
      </c>
      <c r="L12" s="31"/>
      <c r="N12" s="48"/>
      <c r="O12" s="87" t="s">
        <v>9</v>
      </c>
      <c r="P12" s="13">
        <f>$O$5/3</f>
        <v>333.33333333333331</v>
      </c>
      <c r="Q12" s="13">
        <f t="shared" si="4"/>
        <v>951.7</v>
      </c>
      <c r="R12" s="52"/>
      <c r="T12" s="100"/>
    </row>
    <row r="13" spans="1:20" x14ac:dyDescent="0.25">
      <c r="A13" s="25" t="s">
        <v>8</v>
      </c>
      <c r="B13" s="13">
        <f>$A$5/(1-D13)</f>
        <v>1057.5296108291031</v>
      </c>
      <c r="C13" s="13">
        <f>B13/4</f>
        <v>264.38240270727579</v>
      </c>
      <c r="D13" s="12">
        <v>5.4399999999999997E-2</v>
      </c>
      <c r="E13" s="103">
        <f>B13/$A$5</f>
        <v>1.0575296108291032</v>
      </c>
      <c r="F13" s="10">
        <f t="shared" si="1"/>
        <v>0.26438240270727581</v>
      </c>
      <c r="G13" s="38"/>
      <c r="H13" s="13">
        <f t="shared" si="5"/>
        <v>1269.0355329949239</v>
      </c>
      <c r="I13" s="13">
        <f>H13/4</f>
        <v>317.25888324873097</v>
      </c>
      <c r="J13" s="11">
        <f t="shared" si="2"/>
        <v>1.2690355329949239</v>
      </c>
      <c r="K13" s="10">
        <f t="shared" si="3"/>
        <v>0.31725888324873097</v>
      </c>
      <c r="L13" s="31"/>
      <c r="N13" s="48"/>
      <c r="O13" s="87" t="s">
        <v>8</v>
      </c>
      <c r="P13" s="13">
        <f>$O$5/4</f>
        <v>250</v>
      </c>
      <c r="Q13" s="13">
        <f t="shared" si="4"/>
        <v>945.6</v>
      </c>
      <c r="R13" s="52"/>
    </row>
    <row r="14" spans="1:20" x14ac:dyDescent="0.25">
      <c r="A14" s="25" t="s">
        <v>7</v>
      </c>
      <c r="B14" s="13">
        <f t="shared" si="0"/>
        <v>1064.39595529537</v>
      </c>
      <c r="C14" s="13">
        <f>B14/5</f>
        <v>212.879191059074</v>
      </c>
      <c r="D14" s="12">
        <v>6.0499999999999998E-2</v>
      </c>
      <c r="E14" s="103">
        <f>B14/$A$5</f>
        <v>1.0643959552953699</v>
      </c>
      <c r="F14" s="10">
        <f t="shared" si="1"/>
        <v>0.21287919105907399</v>
      </c>
      <c r="G14" s="38"/>
      <c r="H14" s="13">
        <f t="shared" si="5"/>
        <v>1277.2751463544439</v>
      </c>
      <c r="I14" s="13">
        <f>H14/5</f>
        <v>255.45502927088879</v>
      </c>
      <c r="J14" s="11">
        <f t="shared" si="2"/>
        <v>1.2772751463544438</v>
      </c>
      <c r="K14" s="10">
        <f t="shared" si="3"/>
        <v>0.25545502927088881</v>
      </c>
      <c r="L14" s="31"/>
      <c r="N14" s="48"/>
      <c r="O14" s="87" t="s">
        <v>7</v>
      </c>
      <c r="P14" s="13">
        <f>$O$5/5</f>
        <v>200</v>
      </c>
      <c r="Q14" s="13">
        <f t="shared" si="4"/>
        <v>939.5</v>
      </c>
      <c r="R14" s="52"/>
    </row>
    <row r="15" spans="1:20" x14ac:dyDescent="0.25">
      <c r="A15" s="25" t="s">
        <v>6</v>
      </c>
      <c r="B15" s="13">
        <f>$A$5/(1-D15)</f>
        <v>1071.1225364181662</v>
      </c>
      <c r="C15" s="13">
        <f>B15/6</f>
        <v>178.52042273636104</v>
      </c>
      <c r="D15" s="12">
        <v>6.6400000000000001E-2</v>
      </c>
      <c r="E15" s="103">
        <f t="shared" ref="E15:E20" si="6">B15/$A$5</f>
        <v>1.0711225364181662</v>
      </c>
      <c r="F15" s="10">
        <f t="shared" si="1"/>
        <v>0.17852042273636104</v>
      </c>
      <c r="G15" s="38"/>
      <c r="H15" s="13">
        <f t="shared" si="5"/>
        <v>1285.3470437017995</v>
      </c>
      <c r="I15" s="13">
        <f>H15/6</f>
        <v>214.22450728363324</v>
      </c>
      <c r="J15" s="11">
        <f t="shared" si="2"/>
        <v>1.2853470437017995</v>
      </c>
      <c r="K15" s="10">
        <f t="shared" si="3"/>
        <v>0.21422450728363324</v>
      </c>
      <c r="L15" s="31"/>
      <c r="N15" s="48"/>
      <c r="O15" s="87" t="s">
        <v>6</v>
      </c>
      <c r="P15" s="13">
        <f>$O$5/6</f>
        <v>166.66666666666666</v>
      </c>
      <c r="Q15" s="13">
        <f t="shared" si="4"/>
        <v>933.6</v>
      </c>
      <c r="R15" s="52"/>
    </row>
    <row r="16" spans="1:20" x14ac:dyDescent="0.25">
      <c r="A16" s="26" t="s">
        <v>5</v>
      </c>
      <c r="B16" s="9">
        <f t="shared" si="0"/>
        <v>1078.0508840017249</v>
      </c>
      <c r="C16" s="9">
        <f>B16/7</f>
        <v>154.00726914310354</v>
      </c>
      <c r="D16" s="8">
        <v>7.2400000000000006E-2</v>
      </c>
      <c r="E16" s="104">
        <f t="shared" si="6"/>
        <v>1.0780508840017249</v>
      </c>
      <c r="F16" s="6">
        <f t="shared" si="1"/>
        <v>0.15400726914310353</v>
      </c>
      <c r="G16" s="38"/>
      <c r="H16" s="9">
        <f>$A$5*J16</f>
        <v>1293.6610608020699</v>
      </c>
      <c r="I16" s="9">
        <f>H16/7</f>
        <v>184.80872297172428</v>
      </c>
      <c r="J16" s="7">
        <f t="shared" si="2"/>
        <v>1.2936610608020698</v>
      </c>
      <c r="K16" s="6">
        <f t="shared" si="3"/>
        <v>0.18480872297172429</v>
      </c>
      <c r="L16" s="33"/>
      <c r="M16" s="21"/>
      <c r="N16" s="53"/>
      <c r="O16" s="88" t="s">
        <v>5</v>
      </c>
      <c r="P16" s="9">
        <f>$O$5/7</f>
        <v>142.85714285714286</v>
      </c>
      <c r="Q16" s="9">
        <f t="shared" si="4"/>
        <v>927.6</v>
      </c>
      <c r="R16" s="52"/>
    </row>
    <row r="17" spans="1:20" x14ac:dyDescent="0.25">
      <c r="A17" s="26" t="s">
        <v>4</v>
      </c>
      <c r="B17" s="9">
        <f t="shared" si="0"/>
        <v>1084.8340203948796</v>
      </c>
      <c r="C17" s="9">
        <f>B17/8</f>
        <v>135.60425254935996</v>
      </c>
      <c r="D17" s="8">
        <v>7.8200000000000006E-2</v>
      </c>
      <c r="E17" s="104">
        <f t="shared" si="6"/>
        <v>1.0848340203948796</v>
      </c>
      <c r="F17" s="6">
        <f t="shared" si="1"/>
        <v>0.13560425254935995</v>
      </c>
      <c r="G17" s="38"/>
      <c r="H17" s="9">
        <f t="shared" ref="H17:H30" si="7">$A$5*J17</f>
        <v>1301.8008244738555</v>
      </c>
      <c r="I17" s="9">
        <f>H17/8</f>
        <v>162.72510305923194</v>
      </c>
      <c r="J17" s="7">
        <f t="shared" si="2"/>
        <v>1.3018008244738555</v>
      </c>
      <c r="K17" s="6">
        <f t="shared" si="3"/>
        <v>0.16272510305923193</v>
      </c>
      <c r="L17" s="31"/>
      <c r="N17" s="48"/>
      <c r="O17" s="88" t="s">
        <v>4</v>
      </c>
      <c r="P17" s="9">
        <f>$O$5/8</f>
        <v>125</v>
      </c>
      <c r="Q17" s="9">
        <f t="shared" si="4"/>
        <v>921.8</v>
      </c>
      <c r="R17" s="52"/>
    </row>
    <row r="18" spans="1:20" x14ac:dyDescent="0.25">
      <c r="A18" s="26" t="s">
        <v>3</v>
      </c>
      <c r="B18" s="9">
        <f t="shared" si="0"/>
        <v>1091.8222513374822</v>
      </c>
      <c r="C18" s="9">
        <f>B18/9</f>
        <v>121.31358348194246</v>
      </c>
      <c r="D18" s="8">
        <v>8.4099999999999994E-2</v>
      </c>
      <c r="E18" s="104">
        <f t="shared" si="6"/>
        <v>1.0918222513374822</v>
      </c>
      <c r="F18" s="6">
        <f t="shared" si="1"/>
        <v>0.12131358348194246</v>
      </c>
      <c r="G18" s="38"/>
      <c r="H18" s="9">
        <f t="shared" si="7"/>
        <v>1310.1867016049787</v>
      </c>
      <c r="I18" s="9">
        <f>H18/9</f>
        <v>145.57630017833097</v>
      </c>
      <c r="J18" s="7">
        <f t="shared" si="2"/>
        <v>1.3101867016049786</v>
      </c>
      <c r="K18" s="6">
        <f t="shared" si="3"/>
        <v>0.14557630017833098</v>
      </c>
      <c r="L18" s="31"/>
      <c r="N18" s="48"/>
      <c r="O18" s="88" t="s">
        <v>3</v>
      </c>
      <c r="P18" s="9">
        <f>$O$5/9</f>
        <v>111.11111111111111</v>
      </c>
      <c r="Q18" s="9">
        <f t="shared" si="4"/>
        <v>915.90000000000009</v>
      </c>
      <c r="R18" s="52"/>
    </row>
    <row r="19" spans="1:20" x14ac:dyDescent="0.25">
      <c r="A19" s="26" t="s">
        <v>2</v>
      </c>
      <c r="B19" s="9">
        <f t="shared" si="0"/>
        <v>1101.3215859030836</v>
      </c>
      <c r="C19" s="9">
        <f>B19/10</f>
        <v>110.13215859030836</v>
      </c>
      <c r="D19" s="8">
        <v>9.1999999999999998E-2</v>
      </c>
      <c r="E19" s="104">
        <f t="shared" si="6"/>
        <v>1.1013215859030836</v>
      </c>
      <c r="F19" s="6">
        <f t="shared" si="1"/>
        <v>0.11013215859030837</v>
      </c>
      <c r="G19" s="38"/>
      <c r="H19" s="9">
        <f t="shared" si="7"/>
        <v>1321.5859030837003</v>
      </c>
      <c r="I19" s="9">
        <f>H19/10</f>
        <v>132.15859030837004</v>
      </c>
      <c r="J19" s="7">
        <f t="shared" si="2"/>
        <v>1.3215859030837003</v>
      </c>
      <c r="K19" s="6">
        <f t="shared" si="3"/>
        <v>0.13215859030837004</v>
      </c>
      <c r="L19" s="31"/>
      <c r="N19" s="48"/>
      <c r="O19" s="88" t="s">
        <v>2</v>
      </c>
      <c r="P19" s="9">
        <f>$O$5/10</f>
        <v>100</v>
      </c>
      <c r="Q19" s="9">
        <f t="shared" si="4"/>
        <v>908</v>
      </c>
      <c r="R19" s="52"/>
    </row>
    <row r="20" spans="1:20" x14ac:dyDescent="0.25">
      <c r="A20" s="26" t="s">
        <v>1</v>
      </c>
      <c r="B20" s="9">
        <f t="shared" si="0"/>
        <v>1108.1560283687943</v>
      </c>
      <c r="C20" s="9">
        <f>B20/11</f>
        <v>100.74145712443584</v>
      </c>
      <c r="D20" s="8">
        <v>9.7600000000000006E-2</v>
      </c>
      <c r="E20" s="104">
        <f t="shared" si="6"/>
        <v>1.1081560283687943</v>
      </c>
      <c r="F20" s="6">
        <f t="shared" si="1"/>
        <v>0.10074145712443584</v>
      </c>
      <c r="G20" s="38"/>
      <c r="H20" s="9">
        <f t="shared" si="7"/>
        <v>1329.7872340425531</v>
      </c>
      <c r="I20" s="9">
        <f>H20/11</f>
        <v>120.88974854932302</v>
      </c>
      <c r="J20" s="7">
        <f t="shared" si="2"/>
        <v>1.3297872340425532</v>
      </c>
      <c r="K20" s="6">
        <f t="shared" si="3"/>
        <v>0.12088974854932302</v>
      </c>
      <c r="L20" s="31"/>
      <c r="N20" s="48"/>
      <c r="O20" s="88" t="s">
        <v>1</v>
      </c>
      <c r="P20" s="9">
        <f>$O$5/11</f>
        <v>90.909090909090907</v>
      </c>
      <c r="Q20" s="9">
        <f t="shared" si="4"/>
        <v>902.4</v>
      </c>
      <c r="R20" s="52"/>
    </row>
    <row r="21" spans="1:20" x14ac:dyDescent="0.25">
      <c r="A21" s="26" t="s">
        <v>0</v>
      </c>
      <c r="B21" s="9">
        <f t="shared" si="0"/>
        <v>1120.950566080036</v>
      </c>
      <c r="C21" s="9">
        <f>B21/12</f>
        <v>93.412547173336336</v>
      </c>
      <c r="D21" s="8">
        <v>0.1079</v>
      </c>
      <c r="E21" s="104">
        <f>B21/$A$5</f>
        <v>1.1209505660800361</v>
      </c>
      <c r="F21" s="6">
        <f>C21/$A$5</f>
        <v>9.341254717333633E-2</v>
      </c>
      <c r="G21" s="38"/>
      <c r="H21" s="9">
        <f t="shared" si="7"/>
        <v>1345.1406792960431</v>
      </c>
      <c r="I21" s="9">
        <f>H21/12</f>
        <v>112.09505660800359</v>
      </c>
      <c r="J21" s="7">
        <f t="shared" si="2"/>
        <v>1.3451406792960432</v>
      </c>
      <c r="K21" s="6">
        <f t="shared" si="3"/>
        <v>0.11209505660800359</v>
      </c>
      <c r="L21" s="31"/>
      <c r="N21" s="48"/>
      <c r="O21" s="88" t="s">
        <v>0</v>
      </c>
      <c r="P21" s="9">
        <f>$O$5/12</f>
        <v>83.333333333333329</v>
      </c>
      <c r="Q21" s="9">
        <f>$O$5*(1-D21)</f>
        <v>892.1</v>
      </c>
      <c r="R21" s="52"/>
    </row>
    <row r="22" spans="1:20" hidden="1" x14ac:dyDescent="0.25">
      <c r="A22" s="25" t="s">
        <v>28</v>
      </c>
      <c r="B22" s="13">
        <f t="shared" si="0"/>
        <v>1173.8466956215518</v>
      </c>
      <c r="C22" s="13">
        <f>B22/13</f>
        <v>90.295899663196295</v>
      </c>
      <c r="D22" s="12">
        <v>0.14810000000000001</v>
      </c>
      <c r="E22" s="103">
        <f>B22/$A$5</f>
        <v>1.1738466956215519</v>
      </c>
      <c r="F22" s="10">
        <f>C22/$A$5</f>
        <v>9.0295899663196288E-2</v>
      </c>
      <c r="G22" s="38"/>
      <c r="H22" s="13">
        <f t="shared" si="7"/>
        <v>1408.6160347458622</v>
      </c>
      <c r="I22" s="13">
        <f>H22/13</f>
        <v>108.35507959583555</v>
      </c>
      <c r="J22" s="11">
        <f t="shared" si="2"/>
        <v>1.4086160347458623</v>
      </c>
      <c r="K22" s="10">
        <f t="shared" si="3"/>
        <v>0.10835507959583555</v>
      </c>
      <c r="L22" s="31"/>
      <c r="N22" s="48"/>
      <c r="O22" s="87" t="str">
        <f>A22</f>
        <v>Crédito Parcelado 13x</v>
      </c>
      <c r="P22" s="13">
        <f>$O$5/13</f>
        <v>76.92307692307692</v>
      </c>
      <c r="Q22" s="13">
        <f t="shared" ref="Q22:Q30" si="8">$O$5*(1-D22)</f>
        <v>851.9</v>
      </c>
      <c r="R22" s="52"/>
    </row>
    <row r="23" spans="1:20" hidden="1" x14ac:dyDescent="0.25">
      <c r="A23" s="25" t="s">
        <v>29</v>
      </c>
      <c r="B23" s="13">
        <f t="shared" si="0"/>
        <v>1183.2919181161992</v>
      </c>
      <c r="C23" s="13">
        <f>B23/14</f>
        <v>84.520851294014236</v>
      </c>
      <c r="D23" s="12">
        <v>0.15490000000000001</v>
      </c>
      <c r="E23" s="103">
        <f t="shared" ref="E23:F30" si="9">B23/$A$5</f>
        <v>1.1832919181161992</v>
      </c>
      <c r="F23" s="10">
        <f t="shared" si="9"/>
        <v>8.4520851294014238E-2</v>
      </c>
      <c r="G23" s="38"/>
      <c r="H23" s="13">
        <f t="shared" si="7"/>
        <v>1419.9503017394391</v>
      </c>
      <c r="I23" s="13">
        <f>H23/14</f>
        <v>101.42502155281707</v>
      </c>
      <c r="J23" s="11">
        <f t="shared" si="2"/>
        <v>1.419950301739439</v>
      </c>
      <c r="K23" s="10">
        <f t="shared" si="3"/>
        <v>0.10142502155281707</v>
      </c>
      <c r="L23" s="31"/>
      <c r="N23" s="48"/>
      <c r="O23" s="87" t="str">
        <f t="shared" ref="O23:O30" si="10">A23</f>
        <v>Crédito Parcelado 14x</v>
      </c>
      <c r="P23" s="13">
        <f>$O$5/14</f>
        <v>71.428571428571431</v>
      </c>
      <c r="Q23" s="13">
        <f t="shared" si="8"/>
        <v>845.09999999999991</v>
      </c>
      <c r="R23" s="52"/>
      <c r="T23" s="21"/>
    </row>
    <row r="24" spans="1:20" hidden="1" x14ac:dyDescent="0.25">
      <c r="A24" s="25" t="s">
        <v>30</v>
      </c>
      <c r="B24" s="13">
        <f t="shared" si="0"/>
        <v>1192.8903733746868</v>
      </c>
      <c r="C24" s="13">
        <f>B24/15</f>
        <v>79.52602489164579</v>
      </c>
      <c r="D24" s="12">
        <v>0.16170000000000001</v>
      </c>
      <c r="E24" s="103">
        <f t="shared" si="9"/>
        <v>1.1928903733746867</v>
      </c>
      <c r="F24" s="10">
        <f t="shared" si="9"/>
        <v>7.9526024891645786E-2</v>
      </c>
      <c r="G24" s="38"/>
      <c r="H24" s="13">
        <f t="shared" si="7"/>
        <v>1431.4684480496239</v>
      </c>
      <c r="I24" s="13">
        <f>H24/15</f>
        <v>95.431229869974928</v>
      </c>
      <c r="J24" s="11">
        <f t="shared" si="2"/>
        <v>1.431468448049624</v>
      </c>
      <c r="K24" s="10">
        <f t="shared" si="3"/>
        <v>9.5431229869974932E-2</v>
      </c>
      <c r="L24" s="31"/>
      <c r="N24" s="48"/>
      <c r="O24" s="87" t="str">
        <f t="shared" si="10"/>
        <v>Crédito Parcelado 15x</v>
      </c>
      <c r="P24" s="13">
        <f>$O$5/15</f>
        <v>66.666666666666671</v>
      </c>
      <c r="Q24" s="13">
        <f t="shared" si="8"/>
        <v>838.30000000000007</v>
      </c>
      <c r="R24" s="52"/>
      <c r="T24" s="21"/>
    </row>
    <row r="25" spans="1:20" hidden="1" x14ac:dyDescent="0.25">
      <c r="A25" s="25" t="s">
        <v>31</v>
      </c>
      <c r="B25" s="13">
        <f t="shared" si="0"/>
        <v>1202.6458208057727</v>
      </c>
      <c r="C25" s="13">
        <f>B25/16</f>
        <v>75.165363800360794</v>
      </c>
      <c r="D25" s="12">
        <v>0.16850000000000001</v>
      </c>
      <c r="E25" s="103">
        <f t="shared" si="9"/>
        <v>1.2026458208057726</v>
      </c>
      <c r="F25" s="10">
        <f t="shared" si="9"/>
        <v>7.516536380036079E-2</v>
      </c>
      <c r="G25" s="38"/>
      <c r="H25" s="13">
        <f t="shared" si="7"/>
        <v>1443.174984966927</v>
      </c>
      <c r="I25" s="13">
        <f>H25/16</f>
        <v>90.198436560432938</v>
      </c>
      <c r="J25" s="11">
        <f t="shared" si="2"/>
        <v>1.4431749849669271</v>
      </c>
      <c r="K25" s="10">
        <f t="shared" si="3"/>
        <v>9.0198436560432943E-2</v>
      </c>
      <c r="L25" s="31"/>
      <c r="N25" s="48"/>
      <c r="O25" s="87" t="str">
        <f t="shared" si="10"/>
        <v>Crédito Parcelado 16x</v>
      </c>
      <c r="P25" s="13">
        <f>$O$5/16</f>
        <v>62.5</v>
      </c>
      <c r="Q25" s="13">
        <f t="shared" si="8"/>
        <v>831.5</v>
      </c>
      <c r="R25" s="52"/>
      <c r="S25" s="21"/>
      <c r="T25" s="21"/>
    </row>
    <row r="26" spans="1:20" hidden="1" x14ac:dyDescent="0.25">
      <c r="A26" s="25" t="s">
        <v>32</v>
      </c>
      <c r="B26" s="13">
        <f t="shared" si="0"/>
        <v>1212.7091923356779</v>
      </c>
      <c r="C26" s="13">
        <f>B26/17</f>
        <v>71.335834843275165</v>
      </c>
      <c r="D26" s="12">
        <v>0.1754</v>
      </c>
      <c r="E26" s="103">
        <f t="shared" si="9"/>
        <v>1.2127091923356779</v>
      </c>
      <c r="F26" s="10">
        <f t="shared" si="9"/>
        <v>7.1335834843275159E-2</v>
      </c>
      <c r="G26" s="38"/>
      <c r="H26" s="13">
        <f t="shared" si="7"/>
        <v>1455.2510308028134</v>
      </c>
      <c r="I26" s="13">
        <f>H26/17</f>
        <v>85.603001811930199</v>
      </c>
      <c r="J26" s="11">
        <f t="shared" si="2"/>
        <v>1.4552510308028135</v>
      </c>
      <c r="K26" s="10">
        <f t="shared" si="3"/>
        <v>8.5603001811930202E-2</v>
      </c>
      <c r="L26" s="31"/>
      <c r="N26" s="48"/>
      <c r="O26" s="87" t="str">
        <f t="shared" si="10"/>
        <v>Crédito Parcelado 17x</v>
      </c>
      <c r="P26" s="13">
        <f>$O$5/17</f>
        <v>58.823529411764703</v>
      </c>
      <c r="Q26" s="13">
        <f t="shared" si="8"/>
        <v>824.6</v>
      </c>
      <c r="R26" s="52"/>
      <c r="S26" s="21"/>
    </row>
    <row r="27" spans="1:20" hidden="1" x14ac:dyDescent="0.25">
      <c r="A27" s="25" t="s">
        <v>33</v>
      </c>
      <c r="B27" s="13">
        <f t="shared" si="0"/>
        <v>1222.7928588897041</v>
      </c>
      <c r="C27" s="13">
        <f>B27/18</f>
        <v>67.932936604983567</v>
      </c>
      <c r="D27" s="12">
        <v>0.1822</v>
      </c>
      <c r="E27" s="103">
        <f t="shared" si="9"/>
        <v>1.2227928588897041</v>
      </c>
      <c r="F27" s="10">
        <f t="shared" si="9"/>
        <v>6.7932936604983563E-2</v>
      </c>
      <c r="G27" s="38"/>
      <c r="H27" s="13">
        <f t="shared" si="7"/>
        <v>1467.351430667645</v>
      </c>
      <c r="I27" s="13">
        <f>H27/18</f>
        <v>81.51952392598028</v>
      </c>
      <c r="J27" s="11">
        <f t="shared" si="2"/>
        <v>1.467351430667645</v>
      </c>
      <c r="K27" s="10">
        <f t="shared" si="3"/>
        <v>8.1519523925980275E-2</v>
      </c>
      <c r="L27" s="31"/>
      <c r="N27" s="48"/>
      <c r="O27" s="87" t="str">
        <f t="shared" si="10"/>
        <v>Crédito Parcelado 18x</v>
      </c>
      <c r="P27" s="13">
        <f>$O$5/18</f>
        <v>55.555555555555557</v>
      </c>
      <c r="Q27" s="13">
        <f t="shared" si="8"/>
        <v>817.8</v>
      </c>
      <c r="R27" s="52"/>
    </row>
    <row r="28" spans="1:20" hidden="1" x14ac:dyDescent="0.25">
      <c r="A28" s="25" t="s">
        <v>36</v>
      </c>
      <c r="B28" s="13">
        <f t="shared" si="0"/>
        <v>1233.0456226880397</v>
      </c>
      <c r="C28" s="13">
        <f>B28/19</f>
        <v>64.89713803621261</v>
      </c>
      <c r="D28" s="12">
        <v>0.189</v>
      </c>
      <c r="E28" s="103">
        <f t="shared" si="9"/>
        <v>1.2330456226880397</v>
      </c>
      <c r="F28" s="10">
        <f t="shared" si="9"/>
        <v>6.4897138036212609E-2</v>
      </c>
      <c r="G28" s="38"/>
      <c r="H28" s="13">
        <f t="shared" si="7"/>
        <v>1479.6547472256475</v>
      </c>
      <c r="I28" s="13">
        <f>H28/19</f>
        <v>77.876565643455137</v>
      </c>
      <c r="J28" s="11">
        <f t="shared" si="2"/>
        <v>1.4796547472256476</v>
      </c>
      <c r="K28" s="10">
        <f t="shared" si="3"/>
        <v>7.7876565643455131E-2</v>
      </c>
      <c r="L28" s="31"/>
      <c r="N28" s="48"/>
      <c r="O28" s="87" t="str">
        <f t="shared" si="10"/>
        <v>Crédito Parcelado 19</v>
      </c>
      <c r="P28" s="13">
        <f>$O$5/19</f>
        <v>52.631578947368418</v>
      </c>
      <c r="Q28" s="13">
        <f t="shared" si="8"/>
        <v>811</v>
      </c>
      <c r="R28" s="52"/>
    </row>
    <row r="29" spans="1:20" hidden="1" x14ac:dyDescent="0.25">
      <c r="A29" s="25" t="s">
        <v>37</v>
      </c>
      <c r="B29" s="13">
        <f t="shared" si="0"/>
        <v>1243.4717731907485</v>
      </c>
      <c r="C29" s="13">
        <f>B29/20</f>
        <v>62.17358865953743</v>
      </c>
      <c r="D29" s="12">
        <v>0.1958</v>
      </c>
      <c r="E29" s="103">
        <f t="shared" si="9"/>
        <v>1.2434717731907485</v>
      </c>
      <c r="F29" s="10">
        <f t="shared" si="9"/>
        <v>6.2173588659537427E-2</v>
      </c>
      <c r="G29" s="38"/>
      <c r="H29" s="13">
        <f t="shared" si="7"/>
        <v>1492.1661278288982</v>
      </c>
      <c r="I29" s="13">
        <f>H29/20</f>
        <v>74.608306391444913</v>
      </c>
      <c r="J29" s="11">
        <f t="shared" si="2"/>
        <v>1.4921661278288982</v>
      </c>
      <c r="K29" s="10">
        <f t="shared" si="3"/>
        <v>7.4608306391444917E-2</v>
      </c>
      <c r="L29" s="31"/>
      <c r="N29" s="48"/>
      <c r="O29" s="87" t="str">
        <f t="shared" si="10"/>
        <v>Crédito Parcelado 20x</v>
      </c>
      <c r="P29" s="13">
        <f>$O$5/20</f>
        <v>50</v>
      </c>
      <c r="Q29" s="13">
        <f t="shared" si="8"/>
        <v>804.2</v>
      </c>
      <c r="R29" s="52"/>
    </row>
    <row r="30" spans="1:20" hidden="1" x14ac:dyDescent="0.25">
      <c r="A30" s="25" t="s">
        <v>38</v>
      </c>
      <c r="B30" s="13">
        <f t="shared" si="0"/>
        <v>1254.0757461750691</v>
      </c>
      <c r="C30" s="13">
        <f>B30/21</f>
        <v>59.717892675003291</v>
      </c>
      <c r="D30" s="12">
        <v>0.2026</v>
      </c>
      <c r="E30" s="103">
        <f t="shared" si="9"/>
        <v>1.2540757461750691</v>
      </c>
      <c r="F30" s="10">
        <f t="shared" si="9"/>
        <v>5.9717892675003291E-2</v>
      </c>
      <c r="G30" s="38"/>
      <c r="H30" s="13">
        <f t="shared" si="7"/>
        <v>1504.8908954100827</v>
      </c>
      <c r="I30" s="13">
        <f>H30/21</f>
        <v>71.661471210003938</v>
      </c>
      <c r="J30" s="11">
        <f t="shared" si="2"/>
        <v>1.5048908954100828</v>
      </c>
      <c r="K30" s="10">
        <f t="shared" si="3"/>
        <v>7.1661471210003935E-2</v>
      </c>
      <c r="L30" s="31"/>
      <c r="N30" s="48"/>
      <c r="O30" s="87" t="str">
        <f t="shared" si="10"/>
        <v>Crédito Parcelado 21x</v>
      </c>
      <c r="P30" s="13">
        <f>$O$5/21</f>
        <v>47.61904761904762</v>
      </c>
      <c r="Q30" s="13">
        <f t="shared" si="8"/>
        <v>797.4</v>
      </c>
      <c r="R30" s="52"/>
    </row>
    <row r="31" spans="1:20" hidden="1" x14ac:dyDescent="0.25">
      <c r="A31" s="105"/>
      <c r="B31" s="78"/>
      <c r="C31" s="78"/>
      <c r="D31" s="106"/>
      <c r="E31" s="107"/>
      <c r="F31" s="108"/>
      <c r="G31" s="38"/>
      <c r="H31" s="109"/>
      <c r="I31" s="78"/>
      <c r="J31" s="110"/>
      <c r="K31" s="111"/>
      <c r="L31" s="31"/>
      <c r="N31" s="48"/>
      <c r="O31" s="78"/>
      <c r="P31" s="78"/>
      <c r="Q31" s="78"/>
      <c r="R31" s="52"/>
    </row>
    <row r="32" spans="1:20" hidden="1" x14ac:dyDescent="0.25">
      <c r="A32" s="62" t="s">
        <v>25</v>
      </c>
      <c r="B32" s="62">
        <f t="shared" si="0"/>
        <v>1009.99899000101</v>
      </c>
      <c r="C32" s="62">
        <f>B32</f>
        <v>1009.99899000101</v>
      </c>
      <c r="D32" s="63">
        <v>9.9000000000000008E-3</v>
      </c>
      <c r="E32" s="64">
        <f>C32/A5</f>
        <v>1.00999899000101</v>
      </c>
      <c r="F32" s="65">
        <f>C32/A5</f>
        <v>1.00999899000101</v>
      </c>
      <c r="G32" s="70"/>
      <c r="H32" s="62">
        <v>111.56615366654692</v>
      </c>
      <c r="I32" s="62">
        <v>111.56615366654692</v>
      </c>
      <c r="J32" s="64">
        <f t="shared" si="2"/>
        <v>1.211998788001212</v>
      </c>
      <c r="K32" s="65">
        <v>1.1156615366654692</v>
      </c>
      <c r="L32" s="31"/>
      <c r="N32" s="48"/>
      <c r="O32" s="89" t="str">
        <f>A32</f>
        <v>Débito (Visa/Master)</v>
      </c>
      <c r="P32" s="77">
        <f>O5</f>
        <v>1000</v>
      </c>
      <c r="Q32" s="77">
        <f t="shared" ref="Q32" si="11">$O$5*(1-D32)</f>
        <v>990.1</v>
      </c>
      <c r="R32" s="52"/>
      <c r="S32" s="21"/>
    </row>
    <row r="33" spans="1:19" hidden="1" x14ac:dyDescent="0.25">
      <c r="A33" s="79"/>
      <c r="B33" s="79"/>
      <c r="C33" s="79"/>
      <c r="D33" s="79"/>
      <c r="E33" s="79"/>
      <c r="F33" s="80"/>
      <c r="G33" s="71"/>
      <c r="H33" s="81"/>
      <c r="I33" s="79"/>
      <c r="J33" s="79"/>
      <c r="K33" s="82"/>
      <c r="L33" s="31"/>
      <c r="N33" s="48"/>
      <c r="O33" s="78"/>
      <c r="P33" s="78"/>
      <c r="Q33" s="78"/>
      <c r="R33" s="52"/>
      <c r="S33" s="21"/>
    </row>
    <row r="34" spans="1:19" hidden="1" x14ac:dyDescent="0.25">
      <c r="A34" s="66" t="s">
        <v>26</v>
      </c>
      <c r="B34" s="66">
        <f t="shared" si="0"/>
        <v>1009.99899000101</v>
      </c>
      <c r="C34" s="66">
        <f>B34</f>
        <v>1009.99899000101</v>
      </c>
      <c r="D34" s="67">
        <v>9.9000000000000008E-3</v>
      </c>
      <c r="E34" s="68">
        <f>C34/A5</f>
        <v>1.00999899000101</v>
      </c>
      <c r="F34" s="69">
        <f>C34/A5</f>
        <v>1.00999899000101</v>
      </c>
      <c r="G34" s="70"/>
      <c r="H34" s="66">
        <v>108.59543079602503</v>
      </c>
      <c r="I34" s="66">
        <v>108.59543079602503</v>
      </c>
      <c r="J34" s="68">
        <f t="shared" si="2"/>
        <v>1.211998788001212</v>
      </c>
      <c r="K34" s="69">
        <v>1.0859543079602503</v>
      </c>
      <c r="L34" s="31"/>
      <c r="N34" s="48"/>
      <c r="O34" s="90" t="str">
        <f>A34</f>
        <v>Débito (Elo, Hiper e Amex)</v>
      </c>
      <c r="P34" s="66">
        <f>O5</f>
        <v>1000</v>
      </c>
      <c r="Q34" s="66">
        <f t="shared" ref="Q34" si="12">$O$5*(1-D34)</f>
        <v>990.1</v>
      </c>
      <c r="R34" s="52"/>
      <c r="S34" s="21"/>
    </row>
    <row r="35" spans="1:19" x14ac:dyDescent="0.25">
      <c r="A35" s="57"/>
      <c r="B35" s="58"/>
      <c r="C35" s="58"/>
      <c r="D35" s="59"/>
      <c r="E35" s="60"/>
      <c r="F35" s="61"/>
      <c r="G35" s="38"/>
      <c r="H35" s="73"/>
      <c r="I35" s="74"/>
      <c r="J35" s="75"/>
      <c r="K35" s="76"/>
      <c r="L35" s="31"/>
      <c r="N35" s="48"/>
      <c r="O35" s="78"/>
      <c r="P35" s="78"/>
      <c r="Q35" s="78"/>
      <c r="R35" s="52"/>
      <c r="S35" s="21"/>
    </row>
    <row r="36" spans="1:19" ht="16.5" thickBot="1" x14ac:dyDescent="0.3">
      <c r="A36" s="27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9"/>
      <c r="N36" s="54"/>
      <c r="O36" s="55"/>
      <c r="P36" s="55"/>
      <c r="Q36" s="55"/>
      <c r="R36" s="56"/>
    </row>
    <row r="38" spans="1:19" x14ac:dyDescent="0.25">
      <c r="O38" s="21"/>
    </row>
  </sheetData>
  <mergeCells count="16">
    <mergeCell ref="Q7:Q8"/>
    <mergeCell ref="C5:E5"/>
    <mergeCell ref="H5:J5"/>
    <mergeCell ref="O5:P5"/>
    <mergeCell ref="B7:F7"/>
    <mergeCell ref="H7:J7"/>
    <mergeCell ref="O7:O8"/>
    <mergeCell ref="P7:P8"/>
    <mergeCell ref="C4:E4"/>
    <mergeCell ref="H4:J4"/>
    <mergeCell ref="O4:P4"/>
    <mergeCell ref="A1:L1"/>
    <mergeCell ref="N1:R1"/>
    <mergeCell ref="C3:E3"/>
    <mergeCell ref="H3:J3"/>
    <mergeCell ref="O3:P3"/>
  </mergeCells>
  <pageMargins left="0.7" right="0.98" top="0.75" bottom="0.75" header="0.49" footer="0.3"/>
  <pageSetup paperSize="9" scale="6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Y38"/>
  <sheetViews>
    <sheetView showGridLines="0" tabSelected="1" zoomScale="110" zoomScaleNormal="110" workbookViewId="0">
      <selection activeCell="W43" sqref="W43"/>
    </sheetView>
  </sheetViews>
  <sheetFormatPr defaultColWidth="11" defaultRowHeight="15.75" x14ac:dyDescent="0.25"/>
  <cols>
    <col min="1" max="1" width="22.375" style="1" customWidth="1"/>
    <col min="2" max="2" width="12" style="1" hidden="1" customWidth="1"/>
    <col min="3" max="3" width="10.625" style="1" bestFit="1" customWidth="1"/>
    <col min="4" max="4" width="7" style="1" bestFit="1" customWidth="1"/>
    <col min="5" max="5" width="10.125" style="1" bestFit="1" customWidth="1"/>
    <col min="6" max="6" width="10.75" style="1" bestFit="1" customWidth="1"/>
    <col min="7" max="7" width="1.75" style="1" customWidth="1"/>
    <col min="8" max="9" width="12.625" style="1" bestFit="1" customWidth="1"/>
    <col min="10" max="10" width="8.25" style="1" bestFit="1" customWidth="1"/>
    <col min="11" max="11" width="10.75" style="1" customWidth="1"/>
    <col min="12" max="12" width="2.25" style="1" customWidth="1"/>
    <col min="13" max="13" width="4" style="1" customWidth="1"/>
    <col min="14" max="14" width="2.375" style="1" hidden="1" customWidth="1"/>
    <col min="15" max="15" width="25.625" style="1" hidden="1" customWidth="1"/>
    <col min="16" max="16" width="12" style="1" hidden="1" customWidth="1"/>
    <col min="17" max="17" width="16.5" style="1" hidden="1" customWidth="1"/>
    <col min="18" max="18" width="2.5" style="1" hidden="1" customWidth="1"/>
    <col min="19" max="16384" width="11" style="1"/>
  </cols>
  <sheetData>
    <row r="1" spans="1:25" s="84" customFormat="1" ht="26.1" customHeight="1" x14ac:dyDescent="0.5">
      <c r="A1" s="188" t="s">
        <v>23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83"/>
      <c r="N1" s="189" t="s">
        <v>22</v>
      </c>
      <c r="O1" s="189"/>
      <c r="P1" s="189"/>
      <c r="Q1" s="189"/>
      <c r="R1" s="189"/>
    </row>
    <row r="2" spans="1:25" ht="12" customHeight="1" thickBot="1" x14ac:dyDescent="0.3"/>
    <row r="3" spans="1:25" ht="12" customHeight="1" x14ac:dyDescent="0.25">
      <c r="A3" s="42"/>
      <c r="B3" s="39"/>
      <c r="C3" s="190"/>
      <c r="D3" s="190"/>
      <c r="E3" s="190"/>
      <c r="F3" s="39"/>
      <c r="G3" s="39"/>
      <c r="H3" s="190"/>
      <c r="I3" s="190"/>
      <c r="J3" s="190"/>
      <c r="K3" s="39"/>
      <c r="L3" s="30"/>
      <c r="N3" s="45"/>
      <c r="O3" s="191"/>
      <c r="P3" s="191"/>
      <c r="Q3" s="46"/>
      <c r="R3" s="47"/>
    </row>
    <row r="4" spans="1:25" ht="18.75" x14ac:dyDescent="0.25">
      <c r="A4" s="43" t="s">
        <v>20</v>
      </c>
      <c r="B4" s="41"/>
      <c r="C4" s="180" t="s">
        <v>27</v>
      </c>
      <c r="D4" s="181"/>
      <c r="E4" s="182"/>
      <c r="F4" s="41"/>
      <c r="G4" s="41"/>
      <c r="H4" s="183" t="s">
        <v>19</v>
      </c>
      <c r="I4" s="184"/>
      <c r="J4" s="185"/>
      <c r="K4" s="41"/>
      <c r="L4" s="31"/>
      <c r="N4" s="48"/>
      <c r="O4" s="186" t="s">
        <v>24</v>
      </c>
      <c r="P4" s="187"/>
      <c r="Q4" s="22"/>
      <c r="R4" s="49"/>
    </row>
    <row r="5" spans="1:25" ht="21.75" customHeight="1" x14ac:dyDescent="0.25">
      <c r="A5" s="44">
        <v>1000</v>
      </c>
      <c r="B5" s="40"/>
      <c r="C5" s="194">
        <f>A5*(1+$K$7)</f>
        <v>1250</v>
      </c>
      <c r="D5" s="195"/>
      <c r="E5" s="196"/>
      <c r="F5" s="40"/>
      <c r="G5" s="40"/>
      <c r="H5" s="197">
        <f>IFERROR((C5-(A5)),0)</f>
        <v>250</v>
      </c>
      <c r="I5" s="198"/>
      <c r="J5" s="199"/>
      <c r="K5" s="40"/>
      <c r="L5" s="31"/>
      <c r="N5" s="48"/>
      <c r="O5" s="200">
        <f>A5</f>
        <v>1000</v>
      </c>
      <c r="P5" s="201"/>
      <c r="Q5" s="22"/>
      <c r="R5" s="49"/>
    </row>
    <row r="6" spans="1:25" ht="12.75" customHeight="1" x14ac:dyDescent="0.25">
      <c r="A6" s="34"/>
      <c r="B6" s="35"/>
      <c r="C6" s="35"/>
      <c r="D6" s="35"/>
      <c r="E6" s="35"/>
      <c r="F6" s="35"/>
      <c r="G6" s="35"/>
      <c r="H6" s="35"/>
      <c r="I6" s="35"/>
      <c r="J6" s="35"/>
      <c r="K6" s="35"/>
      <c r="L6" s="31"/>
      <c r="N6" s="48"/>
      <c r="O6" s="22"/>
      <c r="P6" s="22"/>
      <c r="Q6" s="22"/>
      <c r="R6" s="49"/>
    </row>
    <row r="7" spans="1:25" s="19" customFormat="1" ht="23.25" customHeight="1" x14ac:dyDescent="0.25">
      <c r="A7" s="112" t="s">
        <v>17</v>
      </c>
      <c r="B7" s="202" t="s">
        <v>39</v>
      </c>
      <c r="C7" s="203"/>
      <c r="D7" s="203"/>
      <c r="E7" s="203"/>
      <c r="F7" s="204"/>
      <c r="G7" s="36"/>
      <c r="H7" s="205" t="s">
        <v>18</v>
      </c>
      <c r="I7" s="206"/>
      <c r="J7" s="206"/>
      <c r="K7" s="20">
        <v>0.25</v>
      </c>
      <c r="L7" s="32"/>
      <c r="N7" s="50"/>
      <c r="O7" s="207" t="s">
        <v>17</v>
      </c>
      <c r="P7" s="209" t="s">
        <v>15</v>
      </c>
      <c r="Q7" s="192" t="s">
        <v>21</v>
      </c>
      <c r="R7" s="51"/>
      <c r="T7" s="99"/>
    </row>
    <row r="8" spans="1:25" x14ac:dyDescent="0.25">
      <c r="A8" s="113"/>
      <c r="B8" s="18" t="s">
        <v>16</v>
      </c>
      <c r="C8" s="18" t="s">
        <v>15</v>
      </c>
      <c r="D8" s="18" t="s">
        <v>14</v>
      </c>
      <c r="E8" s="18" t="s">
        <v>13</v>
      </c>
      <c r="F8" s="18" t="s">
        <v>12</v>
      </c>
      <c r="G8" s="37"/>
      <c r="H8" s="72" t="s">
        <v>16</v>
      </c>
      <c r="I8" s="72" t="s">
        <v>15</v>
      </c>
      <c r="J8" s="72" t="s">
        <v>13</v>
      </c>
      <c r="K8" s="72" t="s">
        <v>12</v>
      </c>
      <c r="L8" s="31"/>
      <c r="N8" s="48"/>
      <c r="O8" s="208"/>
      <c r="P8" s="209"/>
      <c r="Q8" s="193"/>
      <c r="R8" s="49"/>
      <c r="T8" s="100"/>
    </row>
    <row r="9" spans="1:25" x14ac:dyDescent="0.25">
      <c r="A9" s="23" t="s">
        <v>11</v>
      </c>
      <c r="B9" s="17">
        <f>($A$5)/(1-D9)</f>
        <v>1032.2047894302229</v>
      </c>
      <c r="C9" s="17">
        <f>B9</f>
        <v>1032.2047894302229</v>
      </c>
      <c r="D9" s="16">
        <v>3.1199999999999999E-2</v>
      </c>
      <c r="E9" s="101">
        <f>B9/$A$5</f>
        <v>1.0322047894302229</v>
      </c>
      <c r="F9" s="14">
        <f>C9/A5</f>
        <v>1.0322047894302229</v>
      </c>
      <c r="G9" s="38"/>
      <c r="H9" s="17">
        <f>$A$5*J9</f>
        <v>1290.2559867877785</v>
      </c>
      <c r="I9" s="17">
        <f>H9</f>
        <v>1290.2559867877785</v>
      </c>
      <c r="J9" s="15">
        <f>E9*(1+$K$7)</f>
        <v>1.2902559867877785</v>
      </c>
      <c r="K9" s="14">
        <f>I9/$A$5</f>
        <v>1.2902559867877785</v>
      </c>
      <c r="L9" s="31"/>
      <c r="N9" s="48"/>
      <c r="O9" s="85" t="s">
        <v>11</v>
      </c>
      <c r="P9" s="17">
        <f>$O$5</f>
        <v>1000</v>
      </c>
      <c r="Q9" s="17">
        <f>$O$5*(1-D9)</f>
        <v>968.8</v>
      </c>
      <c r="R9" s="52"/>
      <c r="T9" s="21"/>
    </row>
    <row r="10" spans="1:25" ht="12.75" customHeight="1" x14ac:dyDescent="0.25">
      <c r="A10" s="24"/>
      <c r="B10" s="4"/>
      <c r="C10" s="4"/>
      <c r="D10" s="3"/>
      <c r="E10" s="102"/>
      <c r="F10" s="2"/>
      <c r="G10" s="38"/>
      <c r="H10" s="4"/>
      <c r="I10" s="4"/>
      <c r="J10" s="5"/>
      <c r="K10" s="2"/>
      <c r="L10" s="31"/>
      <c r="N10" s="48"/>
      <c r="O10" s="86"/>
      <c r="P10" s="4"/>
      <c r="Q10" s="4"/>
      <c r="R10" s="49"/>
    </row>
    <row r="11" spans="1:25" x14ac:dyDescent="0.25">
      <c r="A11" s="25" t="s">
        <v>10</v>
      </c>
      <c r="B11" s="13">
        <f t="shared" ref="B11:B34" si="0">$A$5/(1-D11)</f>
        <v>1044.0593025683859</v>
      </c>
      <c r="C11" s="13">
        <f>B11/2</f>
        <v>522.02965128419294</v>
      </c>
      <c r="D11" s="12">
        <v>4.2200000000000001E-2</v>
      </c>
      <c r="E11" s="103">
        <f>B11/$A$5</f>
        <v>1.044059302568386</v>
      </c>
      <c r="F11" s="10">
        <f t="shared" ref="F11:F14" si="1">C11/$A$5</f>
        <v>0.52202965128419299</v>
      </c>
      <c r="G11" s="38"/>
      <c r="H11" s="13">
        <f>$A$5*J11</f>
        <v>1305.0741282104825</v>
      </c>
      <c r="I11" s="13">
        <f>H11/2</f>
        <v>652.53706410524126</v>
      </c>
      <c r="J11" s="11">
        <f t="shared" ref="J11:J34" si="2">E11*(1+$K$7)</f>
        <v>1.3050741282104825</v>
      </c>
      <c r="K11" s="10">
        <f t="shared" ref="K11:K21" si="3">I11/$A$5</f>
        <v>0.65253706410524126</v>
      </c>
      <c r="L11" s="31"/>
      <c r="N11" s="48"/>
      <c r="O11" s="87" t="s">
        <v>10</v>
      </c>
      <c r="P11" s="13">
        <f>$O$5/2</f>
        <v>500</v>
      </c>
      <c r="Q11" s="13">
        <f t="shared" ref="Q11:Q20" si="4">$O$5*(1-D11)</f>
        <v>957.8</v>
      </c>
      <c r="R11" s="52"/>
    </row>
    <row r="12" spans="1:25" x14ac:dyDescent="0.25">
      <c r="A12" s="25" t="s">
        <v>9</v>
      </c>
      <c r="B12" s="13">
        <f t="shared" si="0"/>
        <v>1050.7512871703268</v>
      </c>
      <c r="C12" s="13">
        <f>B12/3</f>
        <v>350.2504290567756</v>
      </c>
      <c r="D12" s="12">
        <v>4.8300000000000003E-2</v>
      </c>
      <c r="E12" s="103">
        <f>B12/$A$5</f>
        <v>1.0507512871703268</v>
      </c>
      <c r="F12" s="10">
        <f t="shared" si="1"/>
        <v>0.35025042905677561</v>
      </c>
      <c r="G12" s="38"/>
      <c r="H12" s="13">
        <f t="shared" ref="H12:H15" si="5">$A$5*J12</f>
        <v>1313.4391089629084</v>
      </c>
      <c r="I12" s="13">
        <f>H12/3</f>
        <v>437.8130363209695</v>
      </c>
      <c r="J12" s="11">
        <f t="shared" si="2"/>
        <v>1.3134391089629085</v>
      </c>
      <c r="K12" s="10">
        <f t="shared" si="3"/>
        <v>0.43781303632096952</v>
      </c>
      <c r="L12" s="31"/>
      <c r="N12" s="48"/>
      <c r="O12" s="87" t="s">
        <v>9</v>
      </c>
      <c r="P12" s="13">
        <f>$O$5/3</f>
        <v>333.33333333333331</v>
      </c>
      <c r="Q12" s="13">
        <f t="shared" si="4"/>
        <v>951.7</v>
      </c>
      <c r="R12" s="52"/>
      <c r="T12" s="100"/>
      <c r="Y12" s="1" t="s">
        <v>68</v>
      </c>
    </row>
    <row r="13" spans="1:25" x14ac:dyDescent="0.25">
      <c r="A13" s="25" t="s">
        <v>8</v>
      </c>
      <c r="B13" s="13">
        <f>$A$5/(1-D13)</f>
        <v>1057.5296108291031</v>
      </c>
      <c r="C13" s="13">
        <f>B13/4</f>
        <v>264.38240270727579</v>
      </c>
      <c r="D13" s="12">
        <v>5.4399999999999997E-2</v>
      </c>
      <c r="E13" s="103">
        <f>B13/$A$5</f>
        <v>1.0575296108291032</v>
      </c>
      <c r="F13" s="10">
        <f t="shared" si="1"/>
        <v>0.26438240270727581</v>
      </c>
      <c r="G13" s="38"/>
      <c r="H13" s="13">
        <f t="shared" si="5"/>
        <v>1321.9120135363792</v>
      </c>
      <c r="I13" s="13">
        <f>H13/4</f>
        <v>330.47800338409479</v>
      </c>
      <c r="J13" s="11">
        <f t="shared" si="2"/>
        <v>1.3219120135363791</v>
      </c>
      <c r="K13" s="10">
        <f t="shared" si="3"/>
        <v>0.33047800338409478</v>
      </c>
      <c r="L13" s="31"/>
      <c r="N13" s="48"/>
      <c r="O13" s="87" t="s">
        <v>8</v>
      </c>
      <c r="P13" s="13">
        <f>$O$5/4</f>
        <v>250</v>
      </c>
      <c r="Q13" s="13">
        <f t="shared" si="4"/>
        <v>945.6</v>
      </c>
      <c r="R13" s="52"/>
    </row>
    <row r="14" spans="1:25" x14ac:dyDescent="0.25">
      <c r="A14" s="25" t="s">
        <v>7</v>
      </c>
      <c r="B14" s="13">
        <f t="shared" si="0"/>
        <v>1064.39595529537</v>
      </c>
      <c r="C14" s="13">
        <f>B14/5</f>
        <v>212.879191059074</v>
      </c>
      <c r="D14" s="12">
        <v>6.0499999999999998E-2</v>
      </c>
      <c r="E14" s="103">
        <f>B14/$A$5</f>
        <v>1.0643959552953699</v>
      </c>
      <c r="F14" s="10">
        <f t="shared" si="1"/>
        <v>0.21287919105907399</v>
      </c>
      <c r="G14" s="38"/>
      <c r="H14" s="13">
        <f t="shared" si="5"/>
        <v>1330.4949441192125</v>
      </c>
      <c r="I14" s="13">
        <f>H14/5</f>
        <v>266.09898882384249</v>
      </c>
      <c r="J14" s="11">
        <f t="shared" si="2"/>
        <v>1.3304949441192124</v>
      </c>
      <c r="K14" s="10">
        <f t="shared" si="3"/>
        <v>0.26609898882384247</v>
      </c>
      <c r="L14" s="31"/>
      <c r="N14" s="48"/>
      <c r="O14" s="87" t="s">
        <v>7</v>
      </c>
      <c r="P14" s="13">
        <f>$O$5/5</f>
        <v>200</v>
      </c>
      <c r="Q14" s="13">
        <f t="shared" si="4"/>
        <v>939.5</v>
      </c>
      <c r="R14" s="52"/>
    </row>
    <row r="15" spans="1:25" x14ac:dyDescent="0.25">
      <c r="A15" s="25" t="s">
        <v>6</v>
      </c>
      <c r="B15" s="13">
        <f>$A$5/(1-D15)</f>
        <v>1071.1225364181662</v>
      </c>
      <c r="C15" s="13">
        <f>B15/6</f>
        <v>178.52042273636104</v>
      </c>
      <c r="D15" s="12">
        <v>6.6400000000000001E-2</v>
      </c>
      <c r="E15" s="103">
        <f t="shared" ref="E15:E20" si="6">B15/$A$5</f>
        <v>1.0711225364181662</v>
      </c>
      <c r="F15" s="10">
        <f t="shared" ref="F15:F20" si="7">C15/$A$5</f>
        <v>0.17852042273636104</v>
      </c>
      <c r="G15" s="38"/>
      <c r="H15" s="13">
        <f t="shared" si="5"/>
        <v>1338.9031705227078</v>
      </c>
      <c r="I15" s="13">
        <f>H15/6</f>
        <v>223.15052842045131</v>
      </c>
      <c r="J15" s="11">
        <f t="shared" si="2"/>
        <v>1.3389031705227077</v>
      </c>
      <c r="K15" s="10">
        <f t="shared" si="3"/>
        <v>0.2231505284204513</v>
      </c>
      <c r="L15" s="31"/>
      <c r="N15" s="48"/>
      <c r="O15" s="87" t="s">
        <v>6</v>
      </c>
      <c r="P15" s="13">
        <f>$O$5/6</f>
        <v>166.66666666666666</v>
      </c>
      <c r="Q15" s="13">
        <f t="shared" si="4"/>
        <v>933.6</v>
      </c>
      <c r="R15" s="52"/>
    </row>
    <row r="16" spans="1:25" x14ac:dyDescent="0.25">
      <c r="A16" s="26" t="s">
        <v>5</v>
      </c>
      <c r="B16" s="9">
        <f t="shared" si="0"/>
        <v>1078.0508840017249</v>
      </c>
      <c r="C16" s="9">
        <f>B16/7</f>
        <v>154.00726914310354</v>
      </c>
      <c r="D16" s="8">
        <v>7.2400000000000006E-2</v>
      </c>
      <c r="E16" s="104">
        <f t="shared" si="6"/>
        <v>1.0780508840017249</v>
      </c>
      <c r="F16" s="6">
        <f t="shared" si="7"/>
        <v>0.15400726914310353</v>
      </c>
      <c r="G16" s="38"/>
      <c r="H16" s="9">
        <f>$A$5*J16</f>
        <v>1347.563605002156</v>
      </c>
      <c r="I16" s="9">
        <f>H16/7</f>
        <v>192.50908642887944</v>
      </c>
      <c r="J16" s="7">
        <f t="shared" si="2"/>
        <v>1.347563605002156</v>
      </c>
      <c r="K16" s="6">
        <f t="shared" si="3"/>
        <v>0.19250908642887946</v>
      </c>
      <c r="L16" s="33"/>
      <c r="M16" s="21"/>
      <c r="N16" s="53"/>
      <c r="O16" s="88" t="s">
        <v>5</v>
      </c>
      <c r="P16" s="9">
        <f>$O$5/7</f>
        <v>142.85714285714286</v>
      </c>
      <c r="Q16" s="9">
        <f t="shared" si="4"/>
        <v>927.6</v>
      </c>
      <c r="R16" s="52"/>
    </row>
    <row r="17" spans="1:20" x14ac:dyDescent="0.25">
      <c r="A17" s="26" t="s">
        <v>4</v>
      </c>
      <c r="B17" s="9">
        <f t="shared" si="0"/>
        <v>1084.8340203948796</v>
      </c>
      <c r="C17" s="9">
        <f>B17/8</f>
        <v>135.60425254935996</v>
      </c>
      <c r="D17" s="8">
        <v>7.8200000000000006E-2</v>
      </c>
      <c r="E17" s="104">
        <f t="shared" si="6"/>
        <v>1.0848340203948796</v>
      </c>
      <c r="F17" s="6">
        <f t="shared" si="7"/>
        <v>0.13560425254935995</v>
      </c>
      <c r="G17" s="38"/>
      <c r="H17" s="9">
        <f t="shared" ref="H17:H21" si="8">$A$5*J17</f>
        <v>1356.0425254935994</v>
      </c>
      <c r="I17" s="9">
        <f>H17/8</f>
        <v>169.50531568669993</v>
      </c>
      <c r="J17" s="7">
        <f t="shared" si="2"/>
        <v>1.3560425254935995</v>
      </c>
      <c r="K17" s="6">
        <f t="shared" si="3"/>
        <v>0.16950531568669994</v>
      </c>
      <c r="L17" s="31"/>
      <c r="N17" s="48"/>
      <c r="O17" s="88" t="s">
        <v>4</v>
      </c>
      <c r="P17" s="9">
        <f>$O$5/8</f>
        <v>125</v>
      </c>
      <c r="Q17" s="9">
        <f t="shared" si="4"/>
        <v>921.8</v>
      </c>
      <c r="R17" s="52"/>
    </row>
    <row r="18" spans="1:20" x14ac:dyDescent="0.25">
      <c r="A18" s="26" t="s">
        <v>3</v>
      </c>
      <c r="B18" s="9">
        <f t="shared" si="0"/>
        <v>1091.8222513374822</v>
      </c>
      <c r="C18" s="9">
        <f>B18/9</f>
        <v>121.31358348194246</v>
      </c>
      <c r="D18" s="8">
        <v>8.4099999999999994E-2</v>
      </c>
      <c r="E18" s="104">
        <f t="shared" si="6"/>
        <v>1.0918222513374822</v>
      </c>
      <c r="F18" s="6">
        <f t="shared" si="7"/>
        <v>0.12131358348194246</v>
      </c>
      <c r="G18" s="38"/>
      <c r="H18" s="9">
        <f t="shared" si="8"/>
        <v>1364.7778141718527</v>
      </c>
      <c r="I18" s="9">
        <f>H18/9</f>
        <v>151.64197935242808</v>
      </c>
      <c r="J18" s="7">
        <f t="shared" si="2"/>
        <v>1.3647778141718527</v>
      </c>
      <c r="K18" s="6">
        <f t="shared" si="3"/>
        <v>0.15164197935242807</v>
      </c>
      <c r="L18" s="31"/>
      <c r="N18" s="48"/>
      <c r="O18" s="88" t="s">
        <v>3</v>
      </c>
      <c r="P18" s="9">
        <f>$O$5/9</f>
        <v>111.11111111111111</v>
      </c>
      <c r="Q18" s="9">
        <f t="shared" si="4"/>
        <v>915.90000000000009</v>
      </c>
      <c r="R18" s="52"/>
    </row>
    <row r="19" spans="1:20" x14ac:dyDescent="0.25">
      <c r="A19" s="26" t="s">
        <v>2</v>
      </c>
      <c r="B19" s="9">
        <f t="shared" si="0"/>
        <v>1101.3215859030836</v>
      </c>
      <c r="C19" s="9">
        <f>B19/10</f>
        <v>110.13215859030836</v>
      </c>
      <c r="D19" s="8">
        <v>9.1999999999999998E-2</v>
      </c>
      <c r="E19" s="104">
        <f t="shared" si="6"/>
        <v>1.1013215859030836</v>
      </c>
      <c r="F19" s="6">
        <f t="shared" si="7"/>
        <v>0.11013215859030837</v>
      </c>
      <c r="G19" s="38"/>
      <c r="H19" s="9">
        <f t="shared" si="8"/>
        <v>1376.6519823788547</v>
      </c>
      <c r="I19" s="9">
        <f>H19/10</f>
        <v>137.66519823788548</v>
      </c>
      <c r="J19" s="7">
        <f t="shared" si="2"/>
        <v>1.3766519823788546</v>
      </c>
      <c r="K19" s="6">
        <f t="shared" si="3"/>
        <v>0.13766519823788548</v>
      </c>
      <c r="L19" s="31"/>
      <c r="N19" s="48"/>
      <c r="O19" s="88" t="s">
        <v>2</v>
      </c>
      <c r="P19" s="9">
        <f>$O$5/10</f>
        <v>100</v>
      </c>
      <c r="Q19" s="9">
        <f t="shared" si="4"/>
        <v>908</v>
      </c>
      <c r="R19" s="52"/>
    </row>
    <row r="20" spans="1:20" x14ac:dyDescent="0.25">
      <c r="A20" s="26" t="s">
        <v>1</v>
      </c>
      <c r="B20" s="9">
        <f t="shared" si="0"/>
        <v>1108.1560283687943</v>
      </c>
      <c r="C20" s="9">
        <f>B20/11</f>
        <v>100.74145712443584</v>
      </c>
      <c r="D20" s="8">
        <v>9.7600000000000006E-2</v>
      </c>
      <c r="E20" s="104">
        <f t="shared" si="6"/>
        <v>1.1081560283687943</v>
      </c>
      <c r="F20" s="6">
        <f t="shared" si="7"/>
        <v>0.10074145712443584</v>
      </c>
      <c r="G20" s="38"/>
      <c r="H20" s="9">
        <f t="shared" si="8"/>
        <v>1385.195035460993</v>
      </c>
      <c r="I20" s="9">
        <f>H20/11</f>
        <v>125.92682140554483</v>
      </c>
      <c r="J20" s="7">
        <f t="shared" si="2"/>
        <v>1.385195035460993</v>
      </c>
      <c r="K20" s="6">
        <f t="shared" si="3"/>
        <v>0.12592682140554484</v>
      </c>
      <c r="L20" s="31"/>
      <c r="N20" s="48"/>
      <c r="O20" s="88" t="s">
        <v>1</v>
      </c>
      <c r="P20" s="9">
        <f>$O$5/11</f>
        <v>90.909090909090907</v>
      </c>
      <c r="Q20" s="9">
        <f t="shared" si="4"/>
        <v>902.4</v>
      </c>
      <c r="R20" s="52"/>
    </row>
    <row r="21" spans="1:20" x14ac:dyDescent="0.25">
      <c r="A21" s="26" t="s">
        <v>0</v>
      </c>
      <c r="B21" s="9">
        <f t="shared" si="0"/>
        <v>1120.950566080036</v>
      </c>
      <c r="C21" s="9">
        <f>B21/12</f>
        <v>93.412547173336336</v>
      </c>
      <c r="D21" s="8">
        <v>0.1079</v>
      </c>
      <c r="E21" s="104">
        <f>B21/$A$5</f>
        <v>1.1209505660800361</v>
      </c>
      <c r="F21" s="6">
        <f>C21/$A$5</f>
        <v>9.341254717333633E-2</v>
      </c>
      <c r="G21" s="38"/>
      <c r="H21" s="9">
        <f t="shared" si="8"/>
        <v>1401.188207600045</v>
      </c>
      <c r="I21" s="9">
        <f>H21/12</f>
        <v>116.76568396667041</v>
      </c>
      <c r="J21" s="7">
        <f t="shared" si="2"/>
        <v>1.401188207600045</v>
      </c>
      <c r="K21" s="6">
        <f t="shared" si="3"/>
        <v>0.11676568396667041</v>
      </c>
      <c r="L21" s="31"/>
      <c r="N21" s="48"/>
      <c r="O21" s="88" t="s">
        <v>0</v>
      </c>
      <c r="P21" s="9">
        <f>$O$5/12</f>
        <v>83.333333333333329</v>
      </c>
      <c r="Q21" s="9">
        <f>$O$5*(1-D21)</f>
        <v>892.1</v>
      </c>
      <c r="R21" s="52"/>
    </row>
    <row r="22" spans="1:20" hidden="1" x14ac:dyDescent="0.25">
      <c r="A22" s="25" t="s">
        <v>28</v>
      </c>
      <c r="B22" s="13">
        <f t="shared" ref="B22:B27" si="9">$A$5/(1-D22)</f>
        <v>1173.8466956215518</v>
      </c>
      <c r="C22" s="13">
        <f>B22/13</f>
        <v>90.295899663196295</v>
      </c>
      <c r="D22" s="12">
        <v>0.14810000000000001</v>
      </c>
      <c r="E22" s="103">
        <f>B22/$A$5</f>
        <v>1.1738466956215519</v>
      </c>
      <c r="F22" s="10">
        <f>C22/$A$5</f>
        <v>9.0295899663196288E-2</v>
      </c>
      <c r="G22" s="38"/>
      <c r="H22" s="13">
        <f t="shared" ref="H22:H27" si="10">$A$5*J22</f>
        <v>1467.3083695269397</v>
      </c>
      <c r="I22" s="13">
        <f>H22/13</f>
        <v>112.86987457899536</v>
      </c>
      <c r="J22" s="11">
        <f t="shared" ref="J22:J27" si="11">E22*(1+$K$7)</f>
        <v>1.4673083695269398</v>
      </c>
      <c r="K22" s="10">
        <f t="shared" ref="K22:K27" si="12">I22/$A$5</f>
        <v>0.11286987457899536</v>
      </c>
      <c r="L22" s="31"/>
      <c r="N22" s="48"/>
      <c r="O22" s="87" t="str">
        <f>A22</f>
        <v>Crédito Parcelado 13x</v>
      </c>
      <c r="P22" s="13">
        <f>$O$5/13</f>
        <v>76.92307692307692</v>
      </c>
      <c r="Q22" s="13">
        <f t="shared" ref="Q22:Q27" si="13">$O$5*(1-D22)</f>
        <v>851.9</v>
      </c>
      <c r="R22" s="52"/>
    </row>
    <row r="23" spans="1:20" hidden="1" x14ac:dyDescent="0.25">
      <c r="A23" s="25" t="s">
        <v>29</v>
      </c>
      <c r="B23" s="13">
        <f t="shared" si="9"/>
        <v>1183.2919181161992</v>
      </c>
      <c r="C23" s="13">
        <f>B23/14</f>
        <v>84.520851294014236</v>
      </c>
      <c r="D23" s="12">
        <v>0.15490000000000001</v>
      </c>
      <c r="E23" s="103">
        <f t="shared" ref="E23:E27" si="14">B23/$A$5</f>
        <v>1.1832919181161992</v>
      </c>
      <c r="F23" s="10">
        <f t="shared" ref="F23:F27" si="15">C23/$A$5</f>
        <v>8.4520851294014238E-2</v>
      </c>
      <c r="G23" s="38"/>
      <c r="H23" s="13">
        <f t="shared" si="10"/>
        <v>1479.1148976452489</v>
      </c>
      <c r="I23" s="13">
        <f>H23/14</f>
        <v>105.65106411751778</v>
      </c>
      <c r="J23" s="11">
        <f t="shared" si="11"/>
        <v>1.4791148976452488</v>
      </c>
      <c r="K23" s="10">
        <f t="shared" si="12"/>
        <v>0.10565106411751778</v>
      </c>
      <c r="L23" s="31"/>
      <c r="N23" s="48"/>
      <c r="O23" s="87" t="str">
        <f t="shared" ref="O23:O27" si="16">A23</f>
        <v>Crédito Parcelado 14x</v>
      </c>
      <c r="P23" s="13">
        <f>$O$5/14</f>
        <v>71.428571428571431</v>
      </c>
      <c r="Q23" s="13">
        <f t="shared" si="13"/>
        <v>845.09999999999991</v>
      </c>
      <c r="R23" s="52"/>
      <c r="T23" s="21"/>
    </row>
    <row r="24" spans="1:20" hidden="1" x14ac:dyDescent="0.25">
      <c r="A24" s="25" t="s">
        <v>30</v>
      </c>
      <c r="B24" s="13">
        <f t="shared" si="9"/>
        <v>1192.8903733746868</v>
      </c>
      <c r="C24" s="13">
        <f>B24/15</f>
        <v>79.52602489164579</v>
      </c>
      <c r="D24" s="12">
        <v>0.16170000000000001</v>
      </c>
      <c r="E24" s="103">
        <f t="shared" si="14"/>
        <v>1.1928903733746867</v>
      </c>
      <c r="F24" s="10">
        <f t="shared" si="15"/>
        <v>7.9526024891645786E-2</v>
      </c>
      <c r="G24" s="38"/>
      <c r="H24" s="13">
        <f t="shared" si="10"/>
        <v>1491.1129667183584</v>
      </c>
      <c r="I24" s="13">
        <f>H24/15</f>
        <v>99.40753111455723</v>
      </c>
      <c r="J24" s="11">
        <f t="shared" si="11"/>
        <v>1.4911129667183585</v>
      </c>
      <c r="K24" s="10">
        <f t="shared" si="12"/>
        <v>9.9407531114557232E-2</v>
      </c>
      <c r="L24" s="31"/>
      <c r="N24" s="48"/>
      <c r="O24" s="87" t="str">
        <f t="shared" si="16"/>
        <v>Crédito Parcelado 15x</v>
      </c>
      <c r="P24" s="13">
        <f>$O$5/15</f>
        <v>66.666666666666671</v>
      </c>
      <c r="Q24" s="13">
        <f t="shared" si="13"/>
        <v>838.30000000000007</v>
      </c>
      <c r="R24" s="52"/>
      <c r="T24" s="21"/>
    </row>
    <row r="25" spans="1:20" hidden="1" x14ac:dyDescent="0.25">
      <c r="A25" s="25" t="s">
        <v>31</v>
      </c>
      <c r="B25" s="13">
        <f t="shared" si="9"/>
        <v>1202.6458208057727</v>
      </c>
      <c r="C25" s="13">
        <f>B25/16</f>
        <v>75.165363800360794</v>
      </c>
      <c r="D25" s="12">
        <v>0.16850000000000001</v>
      </c>
      <c r="E25" s="103">
        <f t="shared" si="14"/>
        <v>1.2026458208057726</v>
      </c>
      <c r="F25" s="10">
        <f t="shared" si="15"/>
        <v>7.516536380036079E-2</v>
      </c>
      <c r="G25" s="38"/>
      <c r="H25" s="13">
        <f t="shared" si="10"/>
        <v>1503.3072760072157</v>
      </c>
      <c r="I25" s="13">
        <f>H25/16</f>
        <v>93.956704750450982</v>
      </c>
      <c r="J25" s="11">
        <f t="shared" si="11"/>
        <v>1.5033072760072157</v>
      </c>
      <c r="K25" s="10">
        <f t="shared" si="12"/>
        <v>9.3956704750450981E-2</v>
      </c>
      <c r="L25" s="31"/>
      <c r="N25" s="48"/>
      <c r="O25" s="87" t="str">
        <f t="shared" si="16"/>
        <v>Crédito Parcelado 16x</v>
      </c>
      <c r="P25" s="13">
        <f>$O$5/16</f>
        <v>62.5</v>
      </c>
      <c r="Q25" s="13">
        <f t="shared" si="13"/>
        <v>831.5</v>
      </c>
      <c r="R25" s="52"/>
      <c r="S25" s="21"/>
      <c r="T25" s="21"/>
    </row>
    <row r="26" spans="1:20" hidden="1" x14ac:dyDescent="0.25">
      <c r="A26" s="25" t="s">
        <v>32</v>
      </c>
      <c r="B26" s="13">
        <f t="shared" si="9"/>
        <v>1212.7091923356779</v>
      </c>
      <c r="C26" s="13">
        <f>B26/17</f>
        <v>71.335834843275165</v>
      </c>
      <c r="D26" s="12">
        <v>0.1754</v>
      </c>
      <c r="E26" s="103">
        <f t="shared" si="14"/>
        <v>1.2127091923356779</v>
      </c>
      <c r="F26" s="10">
        <f t="shared" si="15"/>
        <v>7.1335834843275159E-2</v>
      </c>
      <c r="G26" s="38"/>
      <c r="H26" s="13">
        <f t="shared" si="10"/>
        <v>1515.8864904195975</v>
      </c>
      <c r="I26" s="13">
        <f>H26/17</f>
        <v>89.169793554093971</v>
      </c>
      <c r="J26" s="11">
        <f t="shared" si="11"/>
        <v>1.5158864904195974</v>
      </c>
      <c r="K26" s="10">
        <f t="shared" si="12"/>
        <v>8.9169793554093976E-2</v>
      </c>
      <c r="L26" s="31"/>
      <c r="N26" s="48"/>
      <c r="O26" s="87" t="str">
        <f t="shared" si="16"/>
        <v>Crédito Parcelado 17x</v>
      </c>
      <c r="P26" s="13">
        <f>$O$5/17</f>
        <v>58.823529411764703</v>
      </c>
      <c r="Q26" s="13">
        <f t="shared" si="13"/>
        <v>824.6</v>
      </c>
      <c r="R26" s="52"/>
      <c r="S26" s="21"/>
    </row>
    <row r="27" spans="1:20" hidden="1" x14ac:dyDescent="0.25">
      <c r="A27" s="25" t="s">
        <v>33</v>
      </c>
      <c r="B27" s="13">
        <f t="shared" si="9"/>
        <v>1222.7928588897041</v>
      </c>
      <c r="C27" s="13">
        <f>B27/18</f>
        <v>67.932936604983567</v>
      </c>
      <c r="D27" s="12">
        <v>0.1822</v>
      </c>
      <c r="E27" s="103">
        <f t="shared" si="14"/>
        <v>1.2227928588897041</v>
      </c>
      <c r="F27" s="10">
        <f t="shared" si="15"/>
        <v>6.7932936604983563E-2</v>
      </c>
      <c r="G27" s="38"/>
      <c r="H27" s="13">
        <f t="shared" si="10"/>
        <v>1528.4910736121303</v>
      </c>
      <c r="I27" s="13">
        <f>H27/18</f>
        <v>84.916170756229462</v>
      </c>
      <c r="J27" s="11">
        <f t="shared" si="11"/>
        <v>1.5284910736121302</v>
      </c>
      <c r="K27" s="10">
        <f t="shared" si="12"/>
        <v>8.4916170756229467E-2</v>
      </c>
      <c r="L27" s="31"/>
      <c r="N27" s="48"/>
      <c r="O27" s="87" t="str">
        <f t="shared" si="16"/>
        <v>Crédito Parcelado 18x</v>
      </c>
      <c r="P27" s="13">
        <f>$O$5/18</f>
        <v>55.555555555555557</v>
      </c>
      <c r="Q27" s="13">
        <f t="shared" si="13"/>
        <v>817.8</v>
      </c>
      <c r="R27" s="52"/>
    </row>
    <row r="28" spans="1:20" hidden="1" x14ac:dyDescent="0.25">
      <c r="A28" s="25" t="s">
        <v>36</v>
      </c>
      <c r="B28" s="13">
        <f t="shared" ref="B28:B30" si="17">$A$5/(1-D28)</f>
        <v>1233.0456226880397</v>
      </c>
      <c r="C28" s="13">
        <f>B28/19</f>
        <v>64.89713803621261</v>
      </c>
      <c r="D28" s="12">
        <v>0.189</v>
      </c>
      <c r="E28" s="103">
        <f t="shared" ref="E28:E30" si="18">B28/$A$5</f>
        <v>1.2330456226880397</v>
      </c>
      <c r="F28" s="10">
        <f t="shared" ref="F28:F30" si="19">C28/$A$5</f>
        <v>6.4897138036212609E-2</v>
      </c>
      <c r="G28" s="38"/>
      <c r="H28" s="13">
        <f t="shared" ref="H28:H30" si="20">$A$5*J28</f>
        <v>1541.3070283600496</v>
      </c>
      <c r="I28" s="13">
        <f>H28/19</f>
        <v>81.121422545265773</v>
      </c>
      <c r="J28" s="11">
        <f t="shared" ref="J28:J30" si="21">E28*(1+$K$7)</f>
        <v>1.5413070283600496</v>
      </c>
      <c r="K28" s="10">
        <f t="shared" ref="K28:K30" si="22">I28/$A$5</f>
        <v>8.1121422545265776E-2</v>
      </c>
      <c r="L28" s="31"/>
      <c r="N28" s="48"/>
      <c r="O28" s="87" t="str">
        <f t="shared" ref="O28:O30" si="23">A28</f>
        <v>Crédito Parcelado 19</v>
      </c>
      <c r="P28" s="13">
        <f>$O$5/19</f>
        <v>52.631578947368418</v>
      </c>
      <c r="Q28" s="13">
        <f t="shared" ref="Q28:Q30" si="24">$O$5*(1-D28)</f>
        <v>811</v>
      </c>
      <c r="R28" s="52"/>
    </row>
    <row r="29" spans="1:20" hidden="1" x14ac:dyDescent="0.25">
      <c r="A29" s="25" t="s">
        <v>37</v>
      </c>
      <c r="B29" s="13">
        <f t="shared" si="17"/>
        <v>1243.4717731907485</v>
      </c>
      <c r="C29" s="13">
        <f>B29/20</f>
        <v>62.17358865953743</v>
      </c>
      <c r="D29" s="12">
        <v>0.1958</v>
      </c>
      <c r="E29" s="103">
        <f t="shared" si="18"/>
        <v>1.2434717731907485</v>
      </c>
      <c r="F29" s="10">
        <f t="shared" si="19"/>
        <v>6.2173588659537427E-2</v>
      </c>
      <c r="G29" s="38"/>
      <c r="H29" s="13">
        <f t="shared" si="20"/>
        <v>1554.3397164884357</v>
      </c>
      <c r="I29" s="13">
        <f>H29/20</f>
        <v>77.716985824421783</v>
      </c>
      <c r="J29" s="11">
        <f t="shared" si="21"/>
        <v>1.5543397164884356</v>
      </c>
      <c r="K29" s="10">
        <f t="shared" si="22"/>
        <v>7.7716985824421783E-2</v>
      </c>
      <c r="L29" s="31"/>
      <c r="N29" s="48"/>
      <c r="O29" s="87" t="str">
        <f t="shared" si="23"/>
        <v>Crédito Parcelado 20x</v>
      </c>
      <c r="P29" s="13">
        <f>$O$5/20</f>
        <v>50</v>
      </c>
      <c r="Q29" s="13">
        <f t="shared" si="24"/>
        <v>804.2</v>
      </c>
      <c r="R29" s="52"/>
    </row>
    <row r="30" spans="1:20" hidden="1" x14ac:dyDescent="0.25">
      <c r="A30" s="25" t="s">
        <v>38</v>
      </c>
      <c r="B30" s="13">
        <f t="shared" si="17"/>
        <v>1254.0757461750691</v>
      </c>
      <c r="C30" s="13">
        <f>B30/21</f>
        <v>59.717892675003291</v>
      </c>
      <c r="D30" s="12">
        <v>0.2026</v>
      </c>
      <c r="E30" s="103">
        <f t="shared" si="18"/>
        <v>1.2540757461750691</v>
      </c>
      <c r="F30" s="10">
        <f t="shared" si="19"/>
        <v>5.9717892675003291E-2</v>
      </c>
      <c r="G30" s="38"/>
      <c r="H30" s="13">
        <f t="shared" si="20"/>
        <v>1567.5946827188363</v>
      </c>
      <c r="I30" s="13">
        <f>H30/21</f>
        <v>74.647365843754116</v>
      </c>
      <c r="J30" s="11">
        <f t="shared" si="21"/>
        <v>1.5675946827188363</v>
      </c>
      <c r="K30" s="10">
        <f t="shared" si="22"/>
        <v>7.4647365843754115E-2</v>
      </c>
      <c r="L30" s="31"/>
      <c r="N30" s="48"/>
      <c r="O30" s="87" t="str">
        <f t="shared" si="23"/>
        <v>Crédito Parcelado 21x</v>
      </c>
      <c r="P30" s="13">
        <f>$O$5/21</f>
        <v>47.61904761904762</v>
      </c>
      <c r="Q30" s="13">
        <f t="shared" si="24"/>
        <v>797.4</v>
      </c>
      <c r="R30" s="52"/>
    </row>
    <row r="31" spans="1:20" hidden="1" x14ac:dyDescent="0.25">
      <c r="A31" s="105"/>
      <c r="B31" s="78"/>
      <c r="C31" s="78"/>
      <c r="D31" s="106"/>
      <c r="E31" s="107"/>
      <c r="F31" s="108"/>
      <c r="G31" s="38"/>
      <c r="H31" s="109"/>
      <c r="I31" s="78"/>
      <c r="J31" s="110"/>
      <c r="K31" s="111"/>
      <c r="L31" s="31"/>
      <c r="N31" s="48"/>
      <c r="O31" s="78"/>
      <c r="P31" s="78"/>
      <c r="Q31" s="78"/>
      <c r="R31" s="52"/>
    </row>
    <row r="32" spans="1:20" hidden="1" x14ac:dyDescent="0.25">
      <c r="A32" s="62" t="s">
        <v>25</v>
      </c>
      <c r="B32" s="62">
        <f t="shared" si="0"/>
        <v>1009.99899000101</v>
      </c>
      <c r="C32" s="62">
        <f>B32</f>
        <v>1009.99899000101</v>
      </c>
      <c r="D32" s="63">
        <v>9.9000000000000008E-3</v>
      </c>
      <c r="E32" s="64">
        <f>C32/A5</f>
        <v>1.00999899000101</v>
      </c>
      <c r="F32" s="65">
        <f>C32/A5</f>
        <v>1.00999899000101</v>
      </c>
      <c r="G32" s="70"/>
      <c r="H32" s="62">
        <v>111.56615366654692</v>
      </c>
      <c r="I32" s="62">
        <v>111.56615366654692</v>
      </c>
      <c r="J32" s="64">
        <f t="shared" si="2"/>
        <v>1.2624987375012626</v>
      </c>
      <c r="K32" s="65">
        <v>1.1156615366654692</v>
      </c>
      <c r="L32" s="31"/>
      <c r="N32" s="48"/>
      <c r="O32" s="89" t="str">
        <f>A32</f>
        <v>Débito (Visa/Master)</v>
      </c>
      <c r="P32" s="77">
        <f>O5</f>
        <v>1000</v>
      </c>
      <c r="Q32" s="77">
        <f t="shared" ref="Q32" si="25">$O$5*(1-D32)</f>
        <v>990.1</v>
      </c>
      <c r="R32" s="52"/>
      <c r="S32" s="21"/>
    </row>
    <row r="33" spans="1:19" hidden="1" x14ac:dyDescent="0.25">
      <c r="A33" s="79"/>
      <c r="B33" s="79"/>
      <c r="C33" s="79"/>
      <c r="D33" s="79"/>
      <c r="E33" s="79"/>
      <c r="F33" s="80"/>
      <c r="G33" s="71"/>
      <c r="H33" s="81"/>
      <c r="I33" s="79"/>
      <c r="J33" s="79"/>
      <c r="K33" s="82"/>
      <c r="L33" s="31"/>
      <c r="N33" s="48"/>
      <c r="O33" s="78"/>
      <c r="P33" s="78"/>
      <c r="Q33" s="78"/>
      <c r="R33" s="52"/>
      <c r="S33" s="21"/>
    </row>
    <row r="34" spans="1:19" hidden="1" x14ac:dyDescent="0.25">
      <c r="A34" s="66" t="s">
        <v>26</v>
      </c>
      <c r="B34" s="66">
        <f t="shared" si="0"/>
        <v>1009.99899000101</v>
      </c>
      <c r="C34" s="66">
        <f>B34</f>
        <v>1009.99899000101</v>
      </c>
      <c r="D34" s="67">
        <v>9.9000000000000008E-3</v>
      </c>
      <c r="E34" s="68">
        <f>C34/A5</f>
        <v>1.00999899000101</v>
      </c>
      <c r="F34" s="69">
        <f>C34/A5</f>
        <v>1.00999899000101</v>
      </c>
      <c r="G34" s="70"/>
      <c r="H34" s="66">
        <v>108.59543079602503</v>
      </c>
      <c r="I34" s="66">
        <v>108.59543079602503</v>
      </c>
      <c r="J34" s="68">
        <f t="shared" si="2"/>
        <v>1.2624987375012626</v>
      </c>
      <c r="K34" s="69">
        <v>1.0859543079602503</v>
      </c>
      <c r="L34" s="31"/>
      <c r="N34" s="48"/>
      <c r="O34" s="90" t="str">
        <f>A34</f>
        <v>Débito (Elo, Hiper e Amex)</v>
      </c>
      <c r="P34" s="66">
        <f>O5</f>
        <v>1000</v>
      </c>
      <c r="Q34" s="66">
        <f t="shared" ref="Q34" si="26">$O$5*(1-D34)</f>
        <v>990.1</v>
      </c>
      <c r="R34" s="52"/>
      <c r="S34" s="21"/>
    </row>
    <row r="35" spans="1:19" x14ac:dyDescent="0.25">
      <c r="A35" s="57"/>
      <c r="B35" s="58"/>
      <c r="C35" s="58"/>
      <c r="D35" s="59"/>
      <c r="E35" s="60"/>
      <c r="F35" s="61"/>
      <c r="G35" s="38"/>
      <c r="H35" s="73"/>
      <c r="I35" s="74"/>
      <c r="J35" s="75"/>
      <c r="K35" s="76"/>
      <c r="L35" s="31"/>
      <c r="N35" s="48"/>
      <c r="O35" s="78"/>
      <c r="P35" s="78"/>
      <c r="Q35" s="78"/>
      <c r="R35" s="52"/>
      <c r="S35" s="21"/>
    </row>
    <row r="36" spans="1:19" ht="16.5" thickBot="1" x14ac:dyDescent="0.3">
      <c r="A36" s="27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9"/>
      <c r="N36" s="54"/>
      <c r="O36" s="55"/>
      <c r="P36" s="55"/>
      <c r="Q36" s="55"/>
      <c r="R36" s="56"/>
    </row>
    <row r="38" spans="1:19" x14ac:dyDescent="0.25">
      <c r="O38" s="21"/>
    </row>
  </sheetData>
  <mergeCells count="16">
    <mergeCell ref="N1:R1"/>
    <mergeCell ref="Q7:Q8"/>
    <mergeCell ref="O5:P5"/>
    <mergeCell ref="O3:P3"/>
    <mergeCell ref="C4:E4"/>
    <mergeCell ref="H4:J4"/>
    <mergeCell ref="O4:P4"/>
    <mergeCell ref="P7:P8"/>
    <mergeCell ref="O7:O8"/>
    <mergeCell ref="H3:J3"/>
    <mergeCell ref="H5:J5"/>
    <mergeCell ref="B7:F7"/>
    <mergeCell ref="H7:J7"/>
    <mergeCell ref="C3:E3"/>
    <mergeCell ref="C5:E5"/>
    <mergeCell ref="A1:L1"/>
  </mergeCells>
  <pageMargins left="0.7" right="0.98" top="0.75" bottom="0.75" header="0.49" footer="0.3"/>
  <pageSetup paperSize="9" scale="62" orientation="landscape" r:id="rId1"/>
  <ignoredErrors>
    <ignoredError sqref="I10 I12:I21" emptyCellReferenc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F1962-0172-408B-A63A-1F8D505B846C}">
  <dimension ref="A2:A22"/>
  <sheetViews>
    <sheetView topLeftCell="A10" workbookViewId="0">
      <selection activeCell="D20" sqref="D20"/>
    </sheetView>
  </sheetViews>
  <sheetFormatPr defaultRowHeight="15.75" x14ac:dyDescent="0.25"/>
  <sheetData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ED08-9A5C-489B-B6BD-7528A626A284}">
  <sheetPr>
    <pageSetUpPr fitToPage="1"/>
  </sheetPr>
  <dimension ref="A1:L21"/>
  <sheetViews>
    <sheetView workbookViewId="0">
      <selection activeCell="B15" sqref="B15"/>
    </sheetView>
  </sheetViews>
  <sheetFormatPr defaultRowHeight="15.75" x14ac:dyDescent="0.25"/>
  <cols>
    <col min="1" max="1" width="9" style="91"/>
    <col min="12" max="12" width="9.625" bestFit="1" customWidth="1"/>
  </cols>
  <sheetData>
    <row r="1" spans="1:12" x14ac:dyDescent="0.25">
      <c r="A1" s="210" t="s">
        <v>35</v>
      </c>
      <c r="B1" s="210"/>
      <c r="C1" s="210"/>
      <c r="D1" s="210"/>
      <c r="E1" s="210"/>
      <c r="F1" s="210"/>
      <c r="G1" s="210"/>
      <c r="H1" s="210"/>
      <c r="I1" s="210"/>
      <c r="J1" s="210"/>
    </row>
    <row r="3" spans="1:12" x14ac:dyDescent="0.25">
      <c r="A3" s="93" t="s">
        <v>34</v>
      </c>
      <c r="B3" s="96">
        <v>0.05</v>
      </c>
      <c r="C3" s="96">
        <v>7.0000000000000007E-2</v>
      </c>
      <c r="D3" s="96">
        <v>0.1</v>
      </c>
      <c r="E3" s="96">
        <v>0.12</v>
      </c>
      <c r="F3" s="96">
        <v>0.15</v>
      </c>
      <c r="G3" s="96">
        <v>0.17</v>
      </c>
      <c r="H3" s="96">
        <v>0.2</v>
      </c>
      <c r="I3" s="96">
        <v>0.25</v>
      </c>
      <c r="J3" s="96">
        <v>0.3</v>
      </c>
    </row>
    <row r="4" spans="1:12" x14ac:dyDescent="0.25">
      <c r="A4" s="94">
        <v>1</v>
      </c>
      <c r="B4" s="95">
        <v>1.0930668332292319</v>
      </c>
      <c r="C4" s="95">
        <v>1.1138871538621697</v>
      </c>
      <c r="D4" s="95">
        <v>1.1451176348115764</v>
      </c>
      <c r="E4" s="95">
        <v>1.1659379554445142</v>
      </c>
      <c r="F4" s="95">
        <v>1.1971684363939206</v>
      </c>
      <c r="G4" s="95">
        <v>1.2179887570268584</v>
      </c>
      <c r="H4" s="95">
        <v>1.249219237976265</v>
      </c>
      <c r="I4" s="95">
        <v>1.3012700395586094</v>
      </c>
      <c r="J4" s="95">
        <v>1.3533208411409539</v>
      </c>
      <c r="K4" s="92"/>
    </row>
    <row r="5" spans="1:12" x14ac:dyDescent="0.25">
      <c r="A5" s="94">
        <v>2</v>
      </c>
      <c r="B5" s="95">
        <v>1.1050604956159487</v>
      </c>
      <c r="C5" s="95">
        <v>1.1261092669610142</v>
      </c>
      <c r="D5" s="95">
        <v>1.1576824239786128</v>
      </c>
      <c r="E5" s="95">
        <v>1.1787311953236785</v>
      </c>
      <c r="F5" s="95">
        <v>1.2103043523412769</v>
      </c>
      <c r="G5" s="95">
        <v>1.2313531236863426</v>
      </c>
      <c r="H5" s="95">
        <v>1.2629262807039412</v>
      </c>
      <c r="I5" s="95">
        <v>1.3155482090666055</v>
      </c>
      <c r="J5" s="95">
        <v>1.3681701374292696</v>
      </c>
      <c r="K5" s="92"/>
    </row>
    <row r="6" spans="1:12" x14ac:dyDescent="0.25">
      <c r="A6" s="94">
        <v>3</v>
      </c>
      <c r="B6" s="95">
        <v>1.1133114622412996</v>
      </c>
      <c r="C6" s="95">
        <v>1.1345173948554197</v>
      </c>
      <c r="D6" s="95">
        <v>1.1663262937765997</v>
      </c>
      <c r="E6" s="95">
        <v>1.1875322263907195</v>
      </c>
      <c r="F6" s="95">
        <v>1.2193411253118993</v>
      </c>
      <c r="G6" s="95">
        <v>1.2405470579260194</v>
      </c>
      <c r="H6" s="95">
        <v>1.2723559568471994</v>
      </c>
      <c r="I6" s="95">
        <v>1.3253707883824994</v>
      </c>
      <c r="J6" s="95">
        <v>1.3783856199177995</v>
      </c>
      <c r="K6" s="92"/>
    </row>
    <row r="7" spans="1:12" x14ac:dyDescent="0.25">
      <c r="A7" s="94">
        <v>4</v>
      </c>
      <c r="B7" s="95">
        <v>1.1216865679235297</v>
      </c>
      <c r="C7" s="95">
        <v>1.1430520263601684</v>
      </c>
      <c r="D7" s="95">
        <v>1.1751002140151265</v>
      </c>
      <c r="E7" s="95">
        <v>1.1964656724517653</v>
      </c>
      <c r="F7" s="95">
        <v>1.2285138601067229</v>
      </c>
      <c r="G7" s="95">
        <v>1.2498793185433617</v>
      </c>
      <c r="H7" s="95">
        <v>1.2819275061983197</v>
      </c>
      <c r="I7" s="95">
        <v>1.3353411522899163</v>
      </c>
      <c r="J7" s="95">
        <v>1.3887547983815132</v>
      </c>
      <c r="K7" s="92"/>
    </row>
    <row r="8" spans="1:12" x14ac:dyDescent="0.25">
      <c r="A8" s="94">
        <v>5</v>
      </c>
      <c r="B8" s="95">
        <v>1.1301886354796673</v>
      </c>
      <c r="C8" s="95">
        <v>1.1517160380602325</v>
      </c>
      <c r="D8" s="95">
        <v>1.18400714193108</v>
      </c>
      <c r="E8" s="95">
        <v>1.2055345445116452</v>
      </c>
      <c r="F8" s="95">
        <v>1.2378256483824928</v>
      </c>
      <c r="G8" s="95">
        <v>1.2593530509630577</v>
      </c>
      <c r="H8" s="95">
        <v>1.2916441548339055</v>
      </c>
      <c r="I8" s="95">
        <v>1.3454626612853182</v>
      </c>
      <c r="J8" s="95">
        <v>1.3992811677367309</v>
      </c>
      <c r="K8" s="92"/>
    </row>
    <row r="9" spans="1:12" x14ac:dyDescent="0.25">
      <c r="A9" s="94">
        <v>6</v>
      </c>
      <c r="B9" s="95">
        <v>1.1388205739650272</v>
      </c>
      <c r="C9" s="95">
        <v>1.1605123944215039</v>
      </c>
      <c r="D9" s="95">
        <v>1.1930501251062189</v>
      </c>
      <c r="E9" s="95">
        <v>1.2147419455626958</v>
      </c>
      <c r="F9" s="95">
        <v>1.2472796762474105</v>
      </c>
      <c r="G9" s="95">
        <v>1.2689714967038872</v>
      </c>
      <c r="H9" s="95">
        <v>1.3015092273886024</v>
      </c>
      <c r="I9" s="95">
        <v>1.3557387785297941</v>
      </c>
      <c r="J9" s="95">
        <v>1.409968329670986</v>
      </c>
      <c r="K9" s="92"/>
    </row>
    <row r="10" spans="1:12" x14ac:dyDescent="0.25">
      <c r="A10" s="94">
        <v>7</v>
      </c>
      <c r="B10" s="95">
        <v>1.1523999552210304</v>
      </c>
      <c r="C10" s="95">
        <v>1.1743504305585739</v>
      </c>
      <c r="D10" s="95">
        <v>1.2072761435648891</v>
      </c>
      <c r="E10" s="95">
        <v>1.2292266189024326</v>
      </c>
      <c r="F10" s="95">
        <v>1.2621523319087475</v>
      </c>
      <c r="G10" s="95">
        <v>1.284102807246291</v>
      </c>
      <c r="H10" s="95">
        <v>1.3170285202526062</v>
      </c>
      <c r="I10" s="95">
        <v>1.3719047085964649</v>
      </c>
      <c r="J10" s="95">
        <v>1.4267808969403233</v>
      </c>
      <c r="K10" s="92"/>
      <c r="L10" s="97"/>
    </row>
    <row r="11" spans="1:12" x14ac:dyDescent="0.25">
      <c r="A11" s="94">
        <v>8</v>
      </c>
      <c r="B11" s="95">
        <v>1.1616685875686525</v>
      </c>
      <c r="C11" s="95">
        <v>1.183795608284246</v>
      </c>
      <c r="D11" s="95">
        <v>1.216986139357636</v>
      </c>
      <c r="E11" s="95">
        <v>1.2391131600732295</v>
      </c>
      <c r="F11" s="95">
        <v>1.2723036911466195</v>
      </c>
      <c r="G11" s="95">
        <v>1.2944307118622127</v>
      </c>
      <c r="H11" s="95">
        <v>1.3276212429356029</v>
      </c>
      <c r="I11" s="95">
        <v>1.3829387947245864</v>
      </c>
      <c r="J11" s="95">
        <v>1.4382563465135698</v>
      </c>
      <c r="K11" s="92"/>
      <c r="L11" s="98"/>
    </row>
    <row r="12" spans="1:12" x14ac:dyDescent="0.25">
      <c r="A12" s="94">
        <v>9</v>
      </c>
      <c r="B12" s="95">
        <v>1.1710875220624524</v>
      </c>
      <c r="C12" s="95">
        <v>1.1933939510541183</v>
      </c>
      <c r="D12" s="95">
        <v>1.2268535945416168</v>
      </c>
      <c r="E12" s="95">
        <v>1.2491600235332827</v>
      </c>
      <c r="F12" s="95">
        <v>1.282619667020781</v>
      </c>
      <c r="G12" s="95">
        <v>1.3049260960124469</v>
      </c>
      <c r="H12" s="95">
        <v>1.3383857394999454</v>
      </c>
      <c r="I12" s="95">
        <v>1.3941518119791099</v>
      </c>
      <c r="J12" s="95">
        <v>1.4499178844582743</v>
      </c>
      <c r="K12" s="92"/>
      <c r="L12" s="98"/>
    </row>
    <row r="13" spans="1:12" x14ac:dyDescent="0.25">
      <c r="A13" s="94">
        <v>10</v>
      </c>
      <c r="B13" s="95">
        <v>1.1806604445861237</v>
      </c>
      <c r="C13" s="95">
        <v>1.2031492149591927</v>
      </c>
      <c r="D13" s="95">
        <v>1.2368823705187963</v>
      </c>
      <c r="E13" s="95">
        <v>1.2593711408918653</v>
      </c>
      <c r="F13" s="95">
        <v>1.2931042964514687</v>
      </c>
      <c r="G13" s="95">
        <v>1.3155930668245377</v>
      </c>
      <c r="H13" s="95">
        <v>1.3493262223841413</v>
      </c>
      <c r="I13" s="95">
        <v>1.405548148316814</v>
      </c>
      <c r="J13" s="95">
        <v>1.4617700742494866</v>
      </c>
      <c r="K13" s="92"/>
      <c r="L13" s="98"/>
    </row>
    <row r="14" spans="1:12" x14ac:dyDescent="0.25">
      <c r="A14" s="94">
        <v>11</v>
      </c>
      <c r="B14" s="95">
        <v>1.1903911625360093</v>
      </c>
      <c r="C14" s="95">
        <v>1.2130652799176476</v>
      </c>
      <c r="D14" s="95">
        <v>1.2470764559901049</v>
      </c>
      <c r="E14" s="95">
        <v>1.2697505733717434</v>
      </c>
      <c r="F14" s="95">
        <v>1.3037617494442004</v>
      </c>
      <c r="G14" s="95">
        <v>1.3264358668258387</v>
      </c>
      <c r="H14" s="95">
        <v>1.3604470428982962</v>
      </c>
      <c r="I14" s="95">
        <v>1.4171323363523918</v>
      </c>
      <c r="J14" s="95">
        <v>1.4738176298064876</v>
      </c>
      <c r="K14" s="92"/>
    </row>
    <row r="15" spans="1:12" x14ac:dyDescent="0.25">
      <c r="A15" s="94">
        <v>12</v>
      </c>
      <c r="B15" s="95">
        <v>1.2002836098701037</v>
      </c>
      <c r="C15" s="95">
        <v>1.2231461548200107</v>
      </c>
      <c r="D15" s="95">
        <v>1.2574399722448706</v>
      </c>
      <c r="E15" s="95">
        <v>1.2803025171947775</v>
      </c>
      <c r="F15" s="95">
        <v>1.3145963346196374</v>
      </c>
      <c r="G15" s="95">
        <v>1.3374588795695441</v>
      </c>
      <c r="H15" s="95">
        <v>1.3717526969944043</v>
      </c>
      <c r="I15" s="95">
        <v>1.4289090593691711</v>
      </c>
      <c r="J15" s="95">
        <v>1.486065421743938</v>
      </c>
      <c r="K15" s="92"/>
    </row>
    <row r="16" spans="1:12" x14ac:dyDescent="0.25">
      <c r="A16" s="94">
        <v>13</v>
      </c>
      <c r="B16" s="95">
        <v>1.2103418524109146</v>
      </c>
      <c r="C16" s="95">
        <v>1.2333959829330272</v>
      </c>
      <c r="D16" s="95">
        <v>1.2679771787161962</v>
      </c>
      <c r="E16" s="95">
        <v>1.291031309238309</v>
      </c>
      <c r="F16" s="95">
        <v>1.3256125050214778</v>
      </c>
      <c r="G16" s="95">
        <v>1.3486666355435903</v>
      </c>
      <c r="H16" s="95">
        <v>1.3832478313267593</v>
      </c>
      <c r="I16" s="95">
        <v>1.4408831576320411</v>
      </c>
      <c r="J16" s="95">
        <v>1.4985184839373227</v>
      </c>
      <c r="K16" s="92"/>
    </row>
    <row r="17" spans="1:11" x14ac:dyDescent="0.25">
      <c r="A17" s="94">
        <v>14</v>
      </c>
      <c r="B17" s="95">
        <v>1.2205700934172039</v>
      </c>
      <c r="C17" s="95">
        <v>1.2438190475775317</v>
      </c>
      <c r="D17" s="95">
        <v>1.2786924788180232</v>
      </c>
      <c r="E17" s="95">
        <v>1.301941432978351</v>
      </c>
      <c r="F17" s="95">
        <v>1.3368148642188422</v>
      </c>
      <c r="G17" s="95">
        <v>1.36006381837917</v>
      </c>
      <c r="H17" s="95">
        <v>1.3949372496196615</v>
      </c>
      <c r="I17" s="95">
        <v>1.4530596350204807</v>
      </c>
      <c r="J17" s="95">
        <v>1.5111820204213</v>
      </c>
      <c r="K17" s="92"/>
    </row>
    <row r="18" spans="1:11" x14ac:dyDescent="0.25">
      <c r="A18" s="94">
        <v>15</v>
      </c>
      <c r="B18" s="95">
        <v>1.2309726794406461</v>
      </c>
      <c r="C18" s="95">
        <v>1.2544197780966584</v>
      </c>
      <c r="D18" s="95">
        <v>1.289590426080677</v>
      </c>
      <c r="E18" s="95">
        <v>1.3130375247366892</v>
      </c>
      <c r="F18" s="95">
        <v>1.3482081727207076</v>
      </c>
      <c r="G18" s="95">
        <v>1.3716552713767198</v>
      </c>
      <c r="H18" s="95">
        <v>1.4068259193607384</v>
      </c>
      <c r="I18" s="95">
        <v>1.4654436660007693</v>
      </c>
      <c r="J18" s="95">
        <v>1.5240614126407999</v>
      </c>
      <c r="K18" s="92"/>
    </row>
    <row r="19" spans="1:11" x14ac:dyDescent="0.25">
      <c r="A19" s="94">
        <v>16</v>
      </c>
      <c r="B19" s="95">
        <v>1.2415541064845486</v>
      </c>
      <c r="C19" s="95">
        <v>1.2652027561318733</v>
      </c>
      <c r="D19" s="95">
        <v>1.3006757306028605</v>
      </c>
      <c r="E19" s="95">
        <v>1.3243243802501852</v>
      </c>
      <c r="F19" s="95">
        <v>1.3597973547211721</v>
      </c>
      <c r="G19" s="95">
        <v>1.3834460043684969</v>
      </c>
      <c r="H19" s="95">
        <v>1.418918978839484</v>
      </c>
      <c r="I19" s="95">
        <v>1.4780406029577957</v>
      </c>
      <c r="J19" s="95">
        <v>1.5371622270761076</v>
      </c>
      <c r="K19" s="92"/>
    </row>
    <row r="20" spans="1:11" x14ac:dyDescent="0.25">
      <c r="A20" s="94">
        <v>17</v>
      </c>
      <c r="B20" s="95">
        <v>1.2523190264829691</v>
      </c>
      <c r="C20" s="95">
        <v>1.2761727222255019</v>
      </c>
      <c r="D20" s="95">
        <v>1.3119532658393012</v>
      </c>
      <c r="E20" s="95">
        <v>1.335806961581834</v>
      </c>
      <c r="F20" s="95">
        <v>1.3715875051956328</v>
      </c>
      <c r="G20" s="95">
        <v>1.3954412009381656</v>
      </c>
      <c r="H20" s="95">
        <v>1.4312217445519646</v>
      </c>
      <c r="I20" s="95">
        <v>1.4908559839082967</v>
      </c>
      <c r="J20" s="95">
        <v>1.5504902232646285</v>
      </c>
      <c r="K20" s="92"/>
    </row>
    <row r="21" spans="1:11" x14ac:dyDescent="0.25">
      <c r="A21" s="94">
        <v>18</v>
      </c>
      <c r="B21" s="95">
        <v>1.2632722541198467</v>
      </c>
      <c r="C21" s="95">
        <v>1.2873345827697487</v>
      </c>
      <c r="D21" s="95">
        <v>1.3234280757446013</v>
      </c>
      <c r="E21" s="95">
        <v>1.3474904043945033</v>
      </c>
      <c r="F21" s="95">
        <v>1.3835838973693557</v>
      </c>
      <c r="G21" s="95">
        <v>1.4076462260192577</v>
      </c>
      <c r="H21" s="95">
        <v>1.4437397189941104</v>
      </c>
      <c r="I21" s="95">
        <v>1.503895540618865</v>
      </c>
      <c r="J21" s="95">
        <v>1.5640513622436196</v>
      </c>
      <c r="K21" s="92"/>
    </row>
  </sheetData>
  <mergeCells count="1">
    <mergeCell ref="A1:J1"/>
  </mergeCells>
  <pageMargins left="0.51181102362204722" right="0.51181102362204722" top="0.78740157480314965" bottom="0.78740157480314965" header="0.31496062992125984" footer="0.31496062992125984"/>
  <pageSetup paperSize="9" scale="78" fitToHeight="0" orientation="portrait" r:id="rId1"/>
  <headerFooter>
    <oddFooter>&amp;LEspecial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Ganhos</vt:lpstr>
      <vt:lpstr>Tabela</vt:lpstr>
      <vt:lpstr>10</vt:lpstr>
      <vt:lpstr>15</vt:lpstr>
      <vt:lpstr>20</vt:lpstr>
      <vt:lpstr>25</vt:lpstr>
      <vt:lpstr>Planilha2</vt:lpstr>
      <vt:lpstr>Planilha1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gabrielle lopes</cp:lastModifiedBy>
  <cp:lastPrinted>2024-02-02T14:58:44Z</cp:lastPrinted>
  <dcterms:created xsi:type="dcterms:W3CDTF">2018-12-21T15:30:23Z</dcterms:created>
  <dcterms:modified xsi:type="dcterms:W3CDTF">2026-02-06T18:36:56Z</dcterms:modified>
</cp:coreProperties>
</file>